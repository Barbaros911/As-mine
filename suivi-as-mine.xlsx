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Courses" sheetId="2" state="visible" r:id="rId2"/>
    <sheet name="Clients" sheetId="3" state="visible" r:id="rId3"/>
    <sheet name="Chiffre d'affaires" sheetId="4" state="visible" r:id="rId4"/>
  </sheets>
  <definedNames>
    <definedName name="_xlnm._FilterDatabase" localSheetId="1" hidden="1">'Courses'!$A$4:$R$154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€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i val="1"/>
      <color rgb="00666666"/>
      <sz val="9"/>
    </font>
    <font>
      <name val="Arial"/>
      <b val="1"/>
      <color rgb="00F4F1EA"/>
      <sz val="10"/>
    </font>
    <font>
      <name val="Arial"/>
      <sz val="10"/>
    </font>
    <font>
      <name val="Arial"/>
      <b val="1"/>
      <sz val="10"/>
    </font>
    <font>
      <name val="Arial"/>
      <b val="1"/>
      <color rgb="000000FF"/>
      <sz val="11"/>
    </font>
    <font>
      <name val="Arial"/>
      <b val="1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7" fillId="3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6" fontId="4" fillId="3" borderId="1" pivotButton="0" quotePrefix="0" xfId="0"/>
    <xf numFmtId="165" fontId="4" fillId="3" borderId="1" pivotButton="0" quotePrefix="0" xfId="0"/>
    <xf numFmtId="165" fontId="5" fillId="0" borderId="1" pivotButton="0" quotePrefix="0" xfId="0"/>
    <xf numFmtId="0" fontId="2" fillId="3" borderId="1" pivotButton="0" quotePrefix="0" xfId="0"/>
    <xf numFmtId="0" fontId="5" fillId="0" borderId="1" pivotButton="0" quotePrefix="0" xfId="0"/>
    <xf numFmtId="166" fontId="5" fillId="0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4" fillId="0" borderId="1" pivotButton="0" quotePrefix="0" xfId="0"/>
    <xf numFmtId="3" fontId="5" fillId="0" borderId="1" pivotButton="0" quotePrefix="0" xfId="0"/>
    <xf numFmtId="0" fontId="5" fillId="4" borderId="1" pivotButton="0" quotePrefix="0" xfId="0"/>
    <xf numFmtId="3" fontId="5" fillId="4" borderId="1" pivotButton="0" quotePrefix="0" xfId="0"/>
    <xf numFmtId="165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Comment utiliser ce classeur</t>
        </is>
      </c>
    </row>
    <row r="4">
      <c r="B4" s="2" t="inlineStr">
        <is>
          <t>Les couleurs</t>
        </is>
      </c>
    </row>
    <row r="5">
      <c r="B5" s="3" t="inlineStr">
        <is>
          <t>Jaune : à vous de remplir.  Gris et gras : calculé automatiquement, n'y touchez pas.</t>
        </is>
      </c>
    </row>
    <row r="7">
      <c r="B7" s="2" t="inlineStr">
        <is>
          <t>Onglet Courses</t>
        </is>
      </c>
    </row>
    <row r="8">
      <c r="B8" s="3" t="inlineStr">
        <is>
          <t>Une ligne par course. Recopiez ce que vous recevez sur WhatsApp.</t>
        </is>
      </c>
    </row>
    <row r="9">
      <c r="B9" s="3" t="inlineStr">
        <is>
          <t>Le prix HT et la TVA se déduisent seuls du prix TTC.</t>
        </is>
      </c>
    </row>
    <row r="10">
      <c r="B10" s="3" t="inlineStr">
        <is>
          <t>Statut, Réglé, Type et Véhicule sont des listes déroulantes : cliquez sur la cellule.</t>
        </is>
      </c>
    </row>
    <row r="11">
      <c r="B11" s="3" t="inlineStr">
        <is>
          <t>La ligne d'exemple est là pour montrer le format — écrasez-la.</t>
        </is>
      </c>
    </row>
    <row r="13">
      <c r="B13" s="2" t="inlineStr">
        <is>
          <t>Onglet Clients</t>
        </is>
      </c>
    </row>
    <row r="14">
      <c r="B14" s="3" t="inlineStr">
        <is>
          <t>Saisissez le nom exactement comme dans l'onglet Courses, sinon le rapprochement échoue.</t>
        </is>
      </c>
    </row>
    <row r="15">
      <c r="B15" s="3" t="inlineStr">
        <is>
          <t>Nombre de courses, total dépensé, panier moyen et dernière course se calculent seuls.</t>
        </is>
      </c>
    </row>
    <row r="17">
      <c r="B17" s="2" t="inlineStr">
        <is>
          <t>Onglet Chiffre d'affaires</t>
        </is>
      </c>
    </row>
    <row r="18">
      <c r="B18" s="3" t="inlineStr">
        <is>
          <t>Rien à saisir, sauf l'année en haut. Tout vient de l'onglet Courses.</t>
        </is>
      </c>
    </row>
    <row r="19">
      <c r="B19" s="3" t="inlineStr">
        <is>
          <t>Les courses annulées sont exclues du chiffre d'affaires.</t>
        </is>
      </c>
    </row>
    <row r="20">
      <c r="B20" s="3" t="inlineStr">
        <is>
          <t>« Reste à encaisser » vous montre l'argent qui dort : les courses non réglées.</t>
        </is>
      </c>
    </row>
    <row r="22">
      <c r="B22" s="2" t="inlineStr">
        <is>
          <t>Le raccourci qui fait gagner du temps</t>
        </is>
      </c>
    </row>
    <row r="23">
      <c r="B23" s="3" t="inlineStr">
        <is>
          <t>L'application As-mine exporte déjà un registre : ouvrez une facture,</t>
        </is>
      </c>
    </row>
    <row r="24">
      <c r="B24" s="3" t="inlineStr">
        <is>
          <t>bouton « Exporter le registre des factures (CSV) ». Le fichier obtenu s'ouvre</t>
        </is>
      </c>
    </row>
    <row r="25">
      <c r="B25" s="3" t="inlineStr">
        <is>
          <t>dans ce classeur et vous évite de tout retaper.</t>
        </is>
      </c>
    </row>
    <row r="27">
      <c r="B27" s="2" t="inlineStr">
        <is>
          <t>Sauvegarde</t>
        </is>
      </c>
    </row>
    <row r="28">
      <c r="B28" s="3" t="inlineStr">
        <is>
          <t>Déposez ce fichier sur Google Drive ou iCloud. Un téléphone perdu ne doit pas</t>
        </is>
      </c>
    </row>
    <row r="29">
      <c r="B29" s="3" t="inlineStr">
        <is>
          <t>emporter votre comptabilité.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20" customWidth="1" min="4" max="4"/>
    <col width="16" customWidth="1" min="5" max="5"/>
    <col width="28" customWidth="1" min="6" max="6"/>
    <col width="28" customWidth="1" min="7" max="7"/>
    <col width="16" customWidth="1" min="8" max="8"/>
    <col width="13" customWidth="1" min="9" max="9"/>
    <col width="10" customWidth="1" min="10" max="10"/>
    <col width="16" customWidth="1" min="11" max="11"/>
    <col width="12" customWidth="1" min="12" max="12"/>
    <col width="12" customWidth="1" min="13" max="13"/>
    <col width="12" customWidth="1" min="14" max="14"/>
    <col width="14" customWidth="1" min="15" max="15"/>
    <col width="10" customWidth="1" min="16" max="16"/>
    <col width="15" customWidth="1" min="17" max="17"/>
    <col width="30" customWidth="1" min="18" max="18"/>
  </cols>
  <sheetData>
    <row r="1">
      <c r="A1" s="1" t="inlineStr">
        <is>
          <t>Registre des courses — As-mine</t>
        </is>
      </c>
    </row>
    <row r="2">
      <c r="A2" s="4" t="inlineStr">
        <is>
          <t>Une ligne par course. Les colonnes jaunes se saisissent à la main ; les colonnes grises se calculent toutes seules.</t>
        </is>
      </c>
    </row>
    <row r="4" ht="28" customHeight="1">
      <c r="A4" s="5" t="inlineStr">
        <is>
          <t>Référence</t>
        </is>
      </c>
      <c r="B4" s="5" t="inlineStr">
        <is>
          <t>Date course</t>
        </is>
      </c>
      <c r="C4" s="5" t="inlineStr">
        <is>
          <t>Heure</t>
        </is>
      </c>
      <c r="D4" s="5" t="inlineStr">
        <is>
          <t>Client</t>
        </is>
      </c>
      <c r="E4" s="5" t="inlineStr">
        <is>
          <t>Téléphone</t>
        </is>
      </c>
      <c r="F4" s="5" t="inlineStr">
        <is>
          <t>Départ</t>
        </is>
      </c>
      <c r="G4" s="5" t="inlineStr">
        <is>
          <t>Arrivée</t>
        </is>
      </c>
      <c r="H4" s="5" t="inlineStr">
        <is>
          <t>Type</t>
        </is>
      </c>
      <c r="I4" s="5" t="inlineStr">
        <is>
          <t>Véhicule</t>
        </is>
      </c>
      <c r="J4" s="5" t="inlineStr">
        <is>
          <t>Vol</t>
        </is>
      </c>
      <c r="K4" s="5" t="inlineStr">
        <is>
          <t>Chauffeur</t>
        </is>
      </c>
      <c r="L4" s="5" t="inlineStr">
        <is>
          <t>Prix TTC</t>
        </is>
      </c>
      <c r="M4" s="5" t="inlineStr">
        <is>
          <t>Prix HT</t>
        </is>
      </c>
      <c r="N4" s="5" t="inlineStr">
        <is>
          <t>TVA 10%</t>
        </is>
      </c>
      <c r="O4" s="5" t="inlineStr">
        <is>
          <t>Statut</t>
        </is>
      </c>
      <c r="P4" s="5" t="inlineStr">
        <is>
          <t>Réglé</t>
        </is>
      </c>
      <c r="Q4" s="5" t="inlineStr">
        <is>
          <t>N° facture</t>
        </is>
      </c>
      <c r="R4" s="5" t="inlineStr">
        <is>
          <t>Notes</t>
        </is>
      </c>
    </row>
    <row r="5">
      <c r="A5" s="6" t="inlineStr">
        <is>
          <t>ASM-000001</t>
        </is>
      </c>
      <c r="B5" s="7" t="n">
        <v>46254</v>
      </c>
      <c r="C5" s="6" t="inlineStr">
        <is>
          <t>09:30</t>
        </is>
      </c>
      <c r="D5" s="6" t="inlineStr">
        <is>
          <t>Marie Durand</t>
        </is>
      </c>
      <c r="E5" s="6" t="inlineStr">
        <is>
          <t>+33 6 11 22 33 44</t>
        </is>
      </c>
      <c r="F5" s="6" t="inlineStr">
        <is>
          <t>12 rue de la Paix, 75002 Paris</t>
        </is>
      </c>
      <c r="G5" s="6" t="inlineStr">
        <is>
          <t>Aéroport Roissy-CDG — Terminal 2E</t>
        </is>
      </c>
      <c r="H5" s="6" t="inlineStr">
        <is>
          <t>Forfait aéroport</t>
        </is>
      </c>
      <c r="I5" s="6" t="inlineStr">
        <is>
          <t>Berline</t>
        </is>
      </c>
      <c r="J5" s="6" t="inlineStr">
        <is>
          <t>AF1234</t>
        </is>
      </c>
      <c r="K5" s="6" t="inlineStr">
        <is>
          <t>Kader B.</t>
        </is>
      </c>
      <c r="L5" s="8" t="n">
        <v>56</v>
      </c>
      <c r="M5" s="9">
        <f>IF(L5="","",L5/1.1)</f>
        <v/>
      </c>
      <c r="N5" s="9">
        <f>IF(L5="","",L5-M5)</f>
        <v/>
      </c>
      <c r="O5" s="6" t="inlineStr">
        <is>
          <t>Confirmée</t>
        </is>
      </c>
      <c r="P5" s="6" t="inlineStr">
        <is>
          <t>Oui</t>
        </is>
      </c>
      <c r="Q5" s="6" t="inlineStr">
        <is>
          <t>KADER-2026-0001</t>
        </is>
      </c>
      <c r="R5" s="10" t="inlineStr">
        <is>
          <t>Exemple — remplacez cette ligne par votre première course</t>
        </is>
      </c>
    </row>
    <row r="6">
      <c r="A6" s="6" t="n"/>
      <c r="B6" s="7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8" t="n"/>
      <c r="M6" s="9">
        <f>IF(L6="","",L6/1.1)</f>
        <v/>
      </c>
      <c r="N6" s="9">
        <f>IF(L6="","",L6-M6)</f>
        <v/>
      </c>
      <c r="O6" s="6" t="n"/>
      <c r="P6" s="6" t="n"/>
      <c r="Q6" s="6" t="n"/>
      <c r="R6" s="6" t="n"/>
    </row>
    <row r="7">
      <c r="A7" s="6" t="n"/>
      <c r="B7" s="7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8" t="n"/>
      <c r="M7" s="9">
        <f>IF(L7="","",L7/1.1)</f>
        <v/>
      </c>
      <c r="N7" s="9">
        <f>IF(L7="","",L7-M7)</f>
        <v/>
      </c>
      <c r="O7" s="6" t="n"/>
      <c r="P7" s="6" t="n"/>
      <c r="Q7" s="6" t="n"/>
      <c r="R7" s="6" t="n"/>
    </row>
    <row r="8">
      <c r="A8" s="6" t="n"/>
      <c r="B8" s="7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8" t="n"/>
      <c r="M8" s="9">
        <f>IF(L8="","",L8/1.1)</f>
        <v/>
      </c>
      <c r="N8" s="9">
        <f>IF(L8="","",L8-M8)</f>
        <v/>
      </c>
      <c r="O8" s="6" t="n"/>
      <c r="P8" s="6" t="n"/>
      <c r="Q8" s="6" t="n"/>
      <c r="R8" s="6" t="n"/>
    </row>
    <row r="9">
      <c r="A9" s="6" t="n"/>
      <c r="B9" s="7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8" t="n"/>
      <c r="M9" s="9">
        <f>IF(L9="","",L9/1.1)</f>
        <v/>
      </c>
      <c r="N9" s="9">
        <f>IF(L9="","",L9-M9)</f>
        <v/>
      </c>
      <c r="O9" s="6" t="n"/>
      <c r="P9" s="6" t="n"/>
      <c r="Q9" s="6" t="n"/>
      <c r="R9" s="6" t="n"/>
    </row>
    <row r="10">
      <c r="A10" s="6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8" t="n"/>
      <c r="M10" s="9">
        <f>IF(L10="","",L10/1.1)</f>
        <v/>
      </c>
      <c r="N10" s="9">
        <f>IF(L10="","",L10-M10)</f>
        <v/>
      </c>
      <c r="O10" s="6" t="n"/>
      <c r="P10" s="6" t="n"/>
      <c r="Q10" s="6" t="n"/>
      <c r="R10" s="6" t="n"/>
    </row>
    <row r="11">
      <c r="A11" s="6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8" t="n"/>
      <c r="M11" s="9">
        <f>IF(L11="","",L11/1.1)</f>
        <v/>
      </c>
      <c r="N11" s="9">
        <f>IF(L11="","",L11-M11)</f>
        <v/>
      </c>
      <c r="O11" s="6" t="n"/>
      <c r="P11" s="6" t="n"/>
      <c r="Q11" s="6" t="n"/>
      <c r="R11" s="6" t="n"/>
    </row>
    <row r="12">
      <c r="A12" s="6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8" t="n"/>
      <c r="M12" s="9">
        <f>IF(L12="","",L12/1.1)</f>
        <v/>
      </c>
      <c r="N12" s="9">
        <f>IF(L12="","",L12-M12)</f>
        <v/>
      </c>
      <c r="O12" s="6" t="n"/>
      <c r="P12" s="6" t="n"/>
      <c r="Q12" s="6" t="n"/>
      <c r="R12" s="6" t="n"/>
    </row>
    <row r="13">
      <c r="A13" s="6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8" t="n"/>
      <c r="M13" s="9">
        <f>IF(L13="","",L13/1.1)</f>
        <v/>
      </c>
      <c r="N13" s="9">
        <f>IF(L13="","",L13-M13)</f>
        <v/>
      </c>
      <c r="O13" s="6" t="n"/>
      <c r="P13" s="6" t="n"/>
      <c r="Q13" s="6" t="n"/>
      <c r="R13" s="6" t="n"/>
    </row>
    <row r="14">
      <c r="A14" s="6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8" t="n"/>
      <c r="M14" s="9">
        <f>IF(L14="","",L14/1.1)</f>
        <v/>
      </c>
      <c r="N14" s="9">
        <f>IF(L14="","",L14-M14)</f>
        <v/>
      </c>
      <c r="O14" s="6" t="n"/>
      <c r="P14" s="6" t="n"/>
      <c r="Q14" s="6" t="n"/>
      <c r="R14" s="6" t="n"/>
    </row>
    <row r="15">
      <c r="A15" s="6" t="n"/>
      <c r="B15" s="7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8" t="n"/>
      <c r="M15" s="9">
        <f>IF(L15="","",L15/1.1)</f>
        <v/>
      </c>
      <c r="N15" s="9">
        <f>IF(L15="","",L15-M15)</f>
        <v/>
      </c>
      <c r="O15" s="6" t="n"/>
      <c r="P15" s="6" t="n"/>
      <c r="Q15" s="6" t="n"/>
      <c r="R15" s="6" t="n"/>
    </row>
    <row r="16">
      <c r="A16" s="6" t="n"/>
      <c r="B16" s="7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8" t="n"/>
      <c r="M16" s="9">
        <f>IF(L16="","",L16/1.1)</f>
        <v/>
      </c>
      <c r="N16" s="9">
        <f>IF(L16="","",L16-M16)</f>
        <v/>
      </c>
      <c r="O16" s="6" t="n"/>
      <c r="P16" s="6" t="n"/>
      <c r="Q16" s="6" t="n"/>
      <c r="R16" s="6" t="n"/>
    </row>
    <row r="17">
      <c r="A17" s="6" t="n"/>
      <c r="B17" s="7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8" t="n"/>
      <c r="M17" s="9">
        <f>IF(L17="","",L17/1.1)</f>
        <v/>
      </c>
      <c r="N17" s="9">
        <f>IF(L17="","",L17-M17)</f>
        <v/>
      </c>
      <c r="O17" s="6" t="n"/>
      <c r="P17" s="6" t="n"/>
      <c r="Q17" s="6" t="n"/>
      <c r="R17" s="6" t="n"/>
    </row>
    <row r="18">
      <c r="A18" s="6" t="n"/>
      <c r="B18" s="7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8" t="n"/>
      <c r="M18" s="9">
        <f>IF(L18="","",L18/1.1)</f>
        <v/>
      </c>
      <c r="N18" s="9">
        <f>IF(L18="","",L18-M18)</f>
        <v/>
      </c>
      <c r="O18" s="6" t="n"/>
      <c r="P18" s="6" t="n"/>
      <c r="Q18" s="6" t="n"/>
      <c r="R18" s="6" t="n"/>
    </row>
    <row r="19">
      <c r="A19" s="6" t="n"/>
      <c r="B19" s="7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8" t="n"/>
      <c r="M19" s="9">
        <f>IF(L19="","",L19/1.1)</f>
        <v/>
      </c>
      <c r="N19" s="9">
        <f>IF(L19="","",L19-M19)</f>
        <v/>
      </c>
      <c r="O19" s="6" t="n"/>
      <c r="P19" s="6" t="n"/>
      <c r="Q19" s="6" t="n"/>
      <c r="R19" s="6" t="n"/>
    </row>
    <row r="20">
      <c r="A20" s="6" t="n"/>
      <c r="B20" s="7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8" t="n"/>
      <c r="M20" s="9">
        <f>IF(L20="","",L20/1.1)</f>
        <v/>
      </c>
      <c r="N20" s="9">
        <f>IF(L20="","",L20-M20)</f>
        <v/>
      </c>
      <c r="O20" s="6" t="n"/>
      <c r="P20" s="6" t="n"/>
      <c r="Q20" s="6" t="n"/>
      <c r="R20" s="6" t="n"/>
    </row>
    <row r="21">
      <c r="A21" s="6" t="n"/>
      <c r="B21" s="7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8" t="n"/>
      <c r="M21" s="9">
        <f>IF(L21="","",L21/1.1)</f>
        <v/>
      </c>
      <c r="N21" s="9">
        <f>IF(L21="","",L21-M21)</f>
        <v/>
      </c>
      <c r="O21" s="6" t="n"/>
      <c r="P21" s="6" t="n"/>
      <c r="Q21" s="6" t="n"/>
      <c r="R21" s="6" t="n"/>
    </row>
    <row r="22">
      <c r="A22" s="6" t="n"/>
      <c r="B22" s="7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8" t="n"/>
      <c r="M22" s="9">
        <f>IF(L22="","",L22/1.1)</f>
        <v/>
      </c>
      <c r="N22" s="9">
        <f>IF(L22="","",L22-M22)</f>
        <v/>
      </c>
      <c r="O22" s="6" t="n"/>
      <c r="P22" s="6" t="n"/>
      <c r="Q22" s="6" t="n"/>
      <c r="R22" s="6" t="n"/>
    </row>
    <row r="23">
      <c r="A23" s="6" t="n"/>
      <c r="B23" s="7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8" t="n"/>
      <c r="M23" s="9">
        <f>IF(L23="","",L23/1.1)</f>
        <v/>
      </c>
      <c r="N23" s="9">
        <f>IF(L23="","",L23-M23)</f>
        <v/>
      </c>
      <c r="O23" s="6" t="n"/>
      <c r="P23" s="6" t="n"/>
      <c r="Q23" s="6" t="n"/>
      <c r="R23" s="6" t="n"/>
    </row>
    <row r="24">
      <c r="A24" s="6" t="n"/>
      <c r="B24" s="7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8" t="n"/>
      <c r="M24" s="9">
        <f>IF(L24="","",L24/1.1)</f>
        <v/>
      </c>
      <c r="N24" s="9">
        <f>IF(L24="","",L24-M24)</f>
        <v/>
      </c>
      <c r="O24" s="6" t="n"/>
      <c r="P24" s="6" t="n"/>
      <c r="Q24" s="6" t="n"/>
      <c r="R24" s="6" t="n"/>
    </row>
    <row r="25">
      <c r="A25" s="6" t="n"/>
      <c r="B25" s="7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8" t="n"/>
      <c r="M25" s="9">
        <f>IF(L25="","",L25/1.1)</f>
        <v/>
      </c>
      <c r="N25" s="9">
        <f>IF(L25="","",L25-M25)</f>
        <v/>
      </c>
      <c r="O25" s="6" t="n"/>
      <c r="P25" s="6" t="n"/>
      <c r="Q25" s="6" t="n"/>
      <c r="R25" s="6" t="n"/>
    </row>
    <row r="26">
      <c r="A26" s="6" t="n"/>
      <c r="B26" s="7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8" t="n"/>
      <c r="M26" s="9">
        <f>IF(L26="","",L26/1.1)</f>
        <v/>
      </c>
      <c r="N26" s="9">
        <f>IF(L26="","",L26-M26)</f>
        <v/>
      </c>
      <c r="O26" s="6" t="n"/>
      <c r="P26" s="6" t="n"/>
      <c r="Q26" s="6" t="n"/>
      <c r="R26" s="6" t="n"/>
    </row>
    <row r="27">
      <c r="A27" s="6" t="n"/>
      <c r="B27" s="7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8" t="n"/>
      <c r="M27" s="9">
        <f>IF(L27="","",L27/1.1)</f>
        <v/>
      </c>
      <c r="N27" s="9">
        <f>IF(L27="","",L27-M27)</f>
        <v/>
      </c>
      <c r="O27" s="6" t="n"/>
      <c r="P27" s="6" t="n"/>
      <c r="Q27" s="6" t="n"/>
      <c r="R27" s="6" t="n"/>
    </row>
    <row r="28">
      <c r="A28" s="6" t="n"/>
      <c r="B28" s="7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8" t="n"/>
      <c r="M28" s="9">
        <f>IF(L28="","",L28/1.1)</f>
        <v/>
      </c>
      <c r="N28" s="9">
        <f>IF(L28="","",L28-M28)</f>
        <v/>
      </c>
      <c r="O28" s="6" t="n"/>
      <c r="P28" s="6" t="n"/>
      <c r="Q28" s="6" t="n"/>
      <c r="R28" s="6" t="n"/>
    </row>
    <row r="29">
      <c r="A29" s="6" t="n"/>
      <c r="B29" s="7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8" t="n"/>
      <c r="M29" s="9">
        <f>IF(L29="","",L29/1.1)</f>
        <v/>
      </c>
      <c r="N29" s="9">
        <f>IF(L29="","",L29-M29)</f>
        <v/>
      </c>
      <c r="O29" s="6" t="n"/>
      <c r="P29" s="6" t="n"/>
      <c r="Q29" s="6" t="n"/>
      <c r="R29" s="6" t="n"/>
    </row>
    <row r="30">
      <c r="A30" s="6" t="n"/>
      <c r="B30" s="7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8" t="n"/>
      <c r="M30" s="9">
        <f>IF(L30="","",L30/1.1)</f>
        <v/>
      </c>
      <c r="N30" s="9">
        <f>IF(L30="","",L30-M30)</f>
        <v/>
      </c>
      <c r="O30" s="6" t="n"/>
      <c r="P30" s="6" t="n"/>
      <c r="Q30" s="6" t="n"/>
      <c r="R30" s="6" t="n"/>
    </row>
    <row r="31">
      <c r="A31" s="6" t="n"/>
      <c r="B31" s="7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8" t="n"/>
      <c r="M31" s="9">
        <f>IF(L31="","",L31/1.1)</f>
        <v/>
      </c>
      <c r="N31" s="9">
        <f>IF(L31="","",L31-M31)</f>
        <v/>
      </c>
      <c r="O31" s="6" t="n"/>
      <c r="P31" s="6" t="n"/>
      <c r="Q31" s="6" t="n"/>
      <c r="R31" s="6" t="n"/>
    </row>
    <row r="32">
      <c r="A32" s="6" t="n"/>
      <c r="B32" s="7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8" t="n"/>
      <c r="M32" s="9">
        <f>IF(L32="","",L32/1.1)</f>
        <v/>
      </c>
      <c r="N32" s="9">
        <f>IF(L32="","",L32-M32)</f>
        <v/>
      </c>
      <c r="O32" s="6" t="n"/>
      <c r="P32" s="6" t="n"/>
      <c r="Q32" s="6" t="n"/>
      <c r="R32" s="6" t="n"/>
    </row>
    <row r="33">
      <c r="A33" s="6" t="n"/>
      <c r="B33" s="7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8" t="n"/>
      <c r="M33" s="9">
        <f>IF(L33="","",L33/1.1)</f>
        <v/>
      </c>
      <c r="N33" s="9">
        <f>IF(L33="","",L33-M33)</f>
        <v/>
      </c>
      <c r="O33" s="6" t="n"/>
      <c r="P33" s="6" t="n"/>
      <c r="Q33" s="6" t="n"/>
      <c r="R33" s="6" t="n"/>
    </row>
    <row r="34">
      <c r="A34" s="6" t="n"/>
      <c r="B34" s="7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8" t="n"/>
      <c r="M34" s="9">
        <f>IF(L34="","",L34/1.1)</f>
        <v/>
      </c>
      <c r="N34" s="9">
        <f>IF(L34="","",L34-M34)</f>
        <v/>
      </c>
      <c r="O34" s="6" t="n"/>
      <c r="P34" s="6" t="n"/>
      <c r="Q34" s="6" t="n"/>
      <c r="R34" s="6" t="n"/>
    </row>
    <row r="35">
      <c r="A35" s="6" t="n"/>
      <c r="B35" s="7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8" t="n"/>
      <c r="M35" s="9">
        <f>IF(L35="","",L35/1.1)</f>
        <v/>
      </c>
      <c r="N35" s="9">
        <f>IF(L35="","",L35-M35)</f>
        <v/>
      </c>
      <c r="O35" s="6" t="n"/>
      <c r="P35" s="6" t="n"/>
      <c r="Q35" s="6" t="n"/>
      <c r="R35" s="6" t="n"/>
    </row>
    <row r="36">
      <c r="A36" s="6" t="n"/>
      <c r="B36" s="7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8" t="n"/>
      <c r="M36" s="9">
        <f>IF(L36="","",L36/1.1)</f>
        <v/>
      </c>
      <c r="N36" s="9">
        <f>IF(L36="","",L36-M36)</f>
        <v/>
      </c>
      <c r="O36" s="6" t="n"/>
      <c r="P36" s="6" t="n"/>
      <c r="Q36" s="6" t="n"/>
      <c r="R36" s="6" t="n"/>
    </row>
    <row r="37">
      <c r="A37" s="6" t="n"/>
      <c r="B37" s="7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8" t="n"/>
      <c r="M37" s="9">
        <f>IF(L37="","",L37/1.1)</f>
        <v/>
      </c>
      <c r="N37" s="9">
        <f>IF(L37="","",L37-M37)</f>
        <v/>
      </c>
      <c r="O37" s="6" t="n"/>
      <c r="P37" s="6" t="n"/>
      <c r="Q37" s="6" t="n"/>
      <c r="R37" s="6" t="n"/>
    </row>
    <row r="38">
      <c r="A38" s="6" t="n"/>
      <c r="B38" s="7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8" t="n"/>
      <c r="M38" s="9">
        <f>IF(L38="","",L38/1.1)</f>
        <v/>
      </c>
      <c r="N38" s="9">
        <f>IF(L38="","",L38-M38)</f>
        <v/>
      </c>
      <c r="O38" s="6" t="n"/>
      <c r="P38" s="6" t="n"/>
      <c r="Q38" s="6" t="n"/>
      <c r="R38" s="6" t="n"/>
    </row>
    <row r="39">
      <c r="A39" s="6" t="n"/>
      <c r="B39" s="7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8" t="n"/>
      <c r="M39" s="9">
        <f>IF(L39="","",L39/1.1)</f>
        <v/>
      </c>
      <c r="N39" s="9">
        <f>IF(L39="","",L39-M39)</f>
        <v/>
      </c>
      <c r="O39" s="6" t="n"/>
      <c r="P39" s="6" t="n"/>
      <c r="Q39" s="6" t="n"/>
      <c r="R39" s="6" t="n"/>
    </row>
    <row r="40">
      <c r="A40" s="6" t="n"/>
      <c r="B40" s="7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8" t="n"/>
      <c r="M40" s="9">
        <f>IF(L40="","",L40/1.1)</f>
        <v/>
      </c>
      <c r="N40" s="9">
        <f>IF(L40="","",L40-M40)</f>
        <v/>
      </c>
      <c r="O40" s="6" t="n"/>
      <c r="P40" s="6" t="n"/>
      <c r="Q40" s="6" t="n"/>
      <c r="R40" s="6" t="n"/>
    </row>
    <row r="41">
      <c r="A41" s="6" t="n"/>
      <c r="B41" s="7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8" t="n"/>
      <c r="M41" s="9">
        <f>IF(L41="","",L41/1.1)</f>
        <v/>
      </c>
      <c r="N41" s="9">
        <f>IF(L41="","",L41-M41)</f>
        <v/>
      </c>
      <c r="O41" s="6" t="n"/>
      <c r="P41" s="6" t="n"/>
      <c r="Q41" s="6" t="n"/>
      <c r="R41" s="6" t="n"/>
    </row>
    <row r="42">
      <c r="A42" s="6" t="n"/>
      <c r="B42" s="7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8" t="n"/>
      <c r="M42" s="9">
        <f>IF(L42="","",L42/1.1)</f>
        <v/>
      </c>
      <c r="N42" s="9">
        <f>IF(L42="","",L42-M42)</f>
        <v/>
      </c>
      <c r="O42" s="6" t="n"/>
      <c r="P42" s="6" t="n"/>
      <c r="Q42" s="6" t="n"/>
      <c r="R42" s="6" t="n"/>
    </row>
    <row r="43">
      <c r="A43" s="6" t="n"/>
      <c r="B43" s="7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8" t="n"/>
      <c r="M43" s="9">
        <f>IF(L43="","",L43/1.1)</f>
        <v/>
      </c>
      <c r="N43" s="9">
        <f>IF(L43="","",L43-M43)</f>
        <v/>
      </c>
      <c r="O43" s="6" t="n"/>
      <c r="P43" s="6" t="n"/>
      <c r="Q43" s="6" t="n"/>
      <c r="R43" s="6" t="n"/>
    </row>
    <row r="44">
      <c r="A44" s="6" t="n"/>
      <c r="B44" s="7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8" t="n"/>
      <c r="M44" s="9">
        <f>IF(L44="","",L44/1.1)</f>
        <v/>
      </c>
      <c r="N44" s="9">
        <f>IF(L44="","",L44-M44)</f>
        <v/>
      </c>
      <c r="O44" s="6" t="n"/>
      <c r="P44" s="6" t="n"/>
      <c r="Q44" s="6" t="n"/>
      <c r="R44" s="6" t="n"/>
    </row>
    <row r="45">
      <c r="A45" s="6" t="n"/>
      <c r="B45" s="7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8" t="n"/>
      <c r="M45" s="9">
        <f>IF(L45="","",L45/1.1)</f>
        <v/>
      </c>
      <c r="N45" s="9">
        <f>IF(L45="","",L45-M45)</f>
        <v/>
      </c>
      <c r="O45" s="6" t="n"/>
      <c r="P45" s="6" t="n"/>
      <c r="Q45" s="6" t="n"/>
      <c r="R45" s="6" t="n"/>
    </row>
    <row r="46">
      <c r="A46" s="6" t="n"/>
      <c r="B46" s="7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8" t="n"/>
      <c r="M46" s="9">
        <f>IF(L46="","",L46/1.1)</f>
        <v/>
      </c>
      <c r="N46" s="9">
        <f>IF(L46="","",L46-M46)</f>
        <v/>
      </c>
      <c r="O46" s="6" t="n"/>
      <c r="P46" s="6" t="n"/>
      <c r="Q46" s="6" t="n"/>
      <c r="R46" s="6" t="n"/>
    </row>
    <row r="47">
      <c r="A47" s="6" t="n"/>
      <c r="B47" s="7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8" t="n"/>
      <c r="M47" s="9">
        <f>IF(L47="","",L47/1.1)</f>
        <v/>
      </c>
      <c r="N47" s="9">
        <f>IF(L47="","",L47-M47)</f>
        <v/>
      </c>
      <c r="O47" s="6" t="n"/>
      <c r="P47" s="6" t="n"/>
      <c r="Q47" s="6" t="n"/>
      <c r="R47" s="6" t="n"/>
    </row>
    <row r="48">
      <c r="A48" s="6" t="n"/>
      <c r="B48" s="7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8" t="n"/>
      <c r="M48" s="9">
        <f>IF(L48="","",L48/1.1)</f>
        <v/>
      </c>
      <c r="N48" s="9">
        <f>IF(L48="","",L48-M48)</f>
        <v/>
      </c>
      <c r="O48" s="6" t="n"/>
      <c r="P48" s="6" t="n"/>
      <c r="Q48" s="6" t="n"/>
      <c r="R48" s="6" t="n"/>
    </row>
    <row r="49">
      <c r="A49" s="6" t="n"/>
      <c r="B49" s="7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8" t="n"/>
      <c r="M49" s="9">
        <f>IF(L49="","",L49/1.1)</f>
        <v/>
      </c>
      <c r="N49" s="9">
        <f>IF(L49="","",L49-M49)</f>
        <v/>
      </c>
      <c r="O49" s="6" t="n"/>
      <c r="P49" s="6" t="n"/>
      <c r="Q49" s="6" t="n"/>
      <c r="R49" s="6" t="n"/>
    </row>
    <row r="50">
      <c r="A50" s="6" t="n"/>
      <c r="B50" s="7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8" t="n"/>
      <c r="M50" s="9">
        <f>IF(L50="","",L50/1.1)</f>
        <v/>
      </c>
      <c r="N50" s="9">
        <f>IF(L50="","",L50-M50)</f>
        <v/>
      </c>
      <c r="O50" s="6" t="n"/>
      <c r="P50" s="6" t="n"/>
      <c r="Q50" s="6" t="n"/>
      <c r="R50" s="6" t="n"/>
    </row>
    <row r="51">
      <c r="A51" s="6" t="n"/>
      <c r="B51" s="7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8" t="n"/>
      <c r="M51" s="9">
        <f>IF(L51="","",L51/1.1)</f>
        <v/>
      </c>
      <c r="N51" s="9">
        <f>IF(L51="","",L51-M51)</f>
        <v/>
      </c>
      <c r="O51" s="6" t="n"/>
      <c r="P51" s="6" t="n"/>
      <c r="Q51" s="6" t="n"/>
      <c r="R51" s="6" t="n"/>
    </row>
    <row r="52">
      <c r="A52" s="6" t="n"/>
      <c r="B52" s="7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8" t="n"/>
      <c r="M52" s="9">
        <f>IF(L52="","",L52/1.1)</f>
        <v/>
      </c>
      <c r="N52" s="9">
        <f>IF(L52="","",L52-M52)</f>
        <v/>
      </c>
      <c r="O52" s="6" t="n"/>
      <c r="P52" s="6" t="n"/>
      <c r="Q52" s="6" t="n"/>
      <c r="R52" s="6" t="n"/>
    </row>
    <row r="53">
      <c r="A53" s="6" t="n"/>
      <c r="B53" s="7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8" t="n"/>
      <c r="M53" s="9">
        <f>IF(L53="","",L53/1.1)</f>
        <v/>
      </c>
      <c r="N53" s="9">
        <f>IF(L53="","",L53-M53)</f>
        <v/>
      </c>
      <c r="O53" s="6" t="n"/>
      <c r="P53" s="6" t="n"/>
      <c r="Q53" s="6" t="n"/>
      <c r="R53" s="6" t="n"/>
    </row>
    <row r="54">
      <c r="A54" s="6" t="n"/>
      <c r="B54" s="7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8" t="n"/>
      <c r="M54" s="9">
        <f>IF(L54="","",L54/1.1)</f>
        <v/>
      </c>
      <c r="N54" s="9">
        <f>IF(L54="","",L54-M54)</f>
        <v/>
      </c>
      <c r="O54" s="6" t="n"/>
      <c r="P54" s="6" t="n"/>
      <c r="Q54" s="6" t="n"/>
      <c r="R54" s="6" t="n"/>
    </row>
    <row r="55">
      <c r="A55" s="6" t="n"/>
      <c r="B55" s="7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8" t="n"/>
      <c r="M55" s="9">
        <f>IF(L55="","",L55/1.1)</f>
        <v/>
      </c>
      <c r="N55" s="9">
        <f>IF(L55="","",L55-M55)</f>
        <v/>
      </c>
      <c r="O55" s="6" t="n"/>
      <c r="P55" s="6" t="n"/>
      <c r="Q55" s="6" t="n"/>
      <c r="R55" s="6" t="n"/>
    </row>
    <row r="56">
      <c r="A56" s="6" t="n"/>
      <c r="B56" s="7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8" t="n"/>
      <c r="M56" s="9">
        <f>IF(L56="","",L56/1.1)</f>
        <v/>
      </c>
      <c r="N56" s="9">
        <f>IF(L56="","",L56-M56)</f>
        <v/>
      </c>
      <c r="O56" s="6" t="n"/>
      <c r="P56" s="6" t="n"/>
      <c r="Q56" s="6" t="n"/>
      <c r="R56" s="6" t="n"/>
    </row>
    <row r="57">
      <c r="A57" s="6" t="n"/>
      <c r="B57" s="7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8" t="n"/>
      <c r="M57" s="9">
        <f>IF(L57="","",L57/1.1)</f>
        <v/>
      </c>
      <c r="N57" s="9">
        <f>IF(L57="","",L57-M57)</f>
        <v/>
      </c>
      <c r="O57" s="6" t="n"/>
      <c r="P57" s="6" t="n"/>
      <c r="Q57" s="6" t="n"/>
      <c r="R57" s="6" t="n"/>
    </row>
    <row r="58">
      <c r="A58" s="6" t="n"/>
      <c r="B58" s="7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8" t="n"/>
      <c r="M58" s="9">
        <f>IF(L58="","",L58/1.1)</f>
        <v/>
      </c>
      <c r="N58" s="9">
        <f>IF(L58="","",L58-M58)</f>
        <v/>
      </c>
      <c r="O58" s="6" t="n"/>
      <c r="P58" s="6" t="n"/>
      <c r="Q58" s="6" t="n"/>
      <c r="R58" s="6" t="n"/>
    </row>
    <row r="59">
      <c r="A59" s="6" t="n"/>
      <c r="B59" s="7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8" t="n"/>
      <c r="M59" s="9">
        <f>IF(L59="","",L59/1.1)</f>
        <v/>
      </c>
      <c r="N59" s="9">
        <f>IF(L59="","",L59-M59)</f>
        <v/>
      </c>
      <c r="O59" s="6" t="n"/>
      <c r="P59" s="6" t="n"/>
      <c r="Q59" s="6" t="n"/>
      <c r="R59" s="6" t="n"/>
    </row>
    <row r="60">
      <c r="A60" s="6" t="n"/>
      <c r="B60" s="7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8" t="n"/>
      <c r="M60" s="9">
        <f>IF(L60="","",L60/1.1)</f>
        <v/>
      </c>
      <c r="N60" s="9">
        <f>IF(L60="","",L60-M60)</f>
        <v/>
      </c>
      <c r="O60" s="6" t="n"/>
      <c r="P60" s="6" t="n"/>
      <c r="Q60" s="6" t="n"/>
      <c r="R60" s="6" t="n"/>
    </row>
    <row r="61">
      <c r="A61" s="6" t="n"/>
      <c r="B61" s="7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8" t="n"/>
      <c r="M61" s="9">
        <f>IF(L61="","",L61/1.1)</f>
        <v/>
      </c>
      <c r="N61" s="9">
        <f>IF(L61="","",L61-M61)</f>
        <v/>
      </c>
      <c r="O61" s="6" t="n"/>
      <c r="P61" s="6" t="n"/>
      <c r="Q61" s="6" t="n"/>
      <c r="R61" s="6" t="n"/>
    </row>
    <row r="62">
      <c r="A62" s="6" t="n"/>
      <c r="B62" s="7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8" t="n"/>
      <c r="M62" s="9">
        <f>IF(L62="","",L62/1.1)</f>
        <v/>
      </c>
      <c r="N62" s="9">
        <f>IF(L62="","",L62-M62)</f>
        <v/>
      </c>
      <c r="O62" s="6" t="n"/>
      <c r="P62" s="6" t="n"/>
      <c r="Q62" s="6" t="n"/>
      <c r="R62" s="6" t="n"/>
    </row>
    <row r="63">
      <c r="A63" s="6" t="n"/>
      <c r="B63" s="7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8" t="n"/>
      <c r="M63" s="9">
        <f>IF(L63="","",L63/1.1)</f>
        <v/>
      </c>
      <c r="N63" s="9">
        <f>IF(L63="","",L63-M63)</f>
        <v/>
      </c>
      <c r="O63" s="6" t="n"/>
      <c r="P63" s="6" t="n"/>
      <c r="Q63" s="6" t="n"/>
      <c r="R63" s="6" t="n"/>
    </row>
    <row r="64">
      <c r="A64" s="6" t="n"/>
      <c r="B64" s="7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8" t="n"/>
      <c r="M64" s="9">
        <f>IF(L64="","",L64/1.1)</f>
        <v/>
      </c>
      <c r="N64" s="9">
        <f>IF(L64="","",L64-M64)</f>
        <v/>
      </c>
      <c r="O64" s="6" t="n"/>
      <c r="P64" s="6" t="n"/>
      <c r="Q64" s="6" t="n"/>
      <c r="R64" s="6" t="n"/>
    </row>
    <row r="65">
      <c r="A65" s="6" t="n"/>
      <c r="B65" s="7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8" t="n"/>
      <c r="M65" s="9">
        <f>IF(L65="","",L65/1.1)</f>
        <v/>
      </c>
      <c r="N65" s="9">
        <f>IF(L65="","",L65-M65)</f>
        <v/>
      </c>
      <c r="O65" s="6" t="n"/>
      <c r="P65" s="6" t="n"/>
      <c r="Q65" s="6" t="n"/>
      <c r="R65" s="6" t="n"/>
    </row>
    <row r="66">
      <c r="A66" s="6" t="n"/>
      <c r="B66" s="7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8" t="n"/>
      <c r="M66" s="9">
        <f>IF(L66="","",L66/1.1)</f>
        <v/>
      </c>
      <c r="N66" s="9">
        <f>IF(L66="","",L66-M66)</f>
        <v/>
      </c>
      <c r="O66" s="6" t="n"/>
      <c r="P66" s="6" t="n"/>
      <c r="Q66" s="6" t="n"/>
      <c r="R66" s="6" t="n"/>
    </row>
    <row r="67">
      <c r="A67" s="6" t="n"/>
      <c r="B67" s="7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8" t="n"/>
      <c r="M67" s="9">
        <f>IF(L67="","",L67/1.1)</f>
        <v/>
      </c>
      <c r="N67" s="9">
        <f>IF(L67="","",L67-M67)</f>
        <v/>
      </c>
      <c r="O67" s="6" t="n"/>
      <c r="P67" s="6" t="n"/>
      <c r="Q67" s="6" t="n"/>
      <c r="R67" s="6" t="n"/>
    </row>
    <row r="68">
      <c r="A68" s="6" t="n"/>
      <c r="B68" s="7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8" t="n"/>
      <c r="M68" s="9">
        <f>IF(L68="","",L68/1.1)</f>
        <v/>
      </c>
      <c r="N68" s="9">
        <f>IF(L68="","",L68-M68)</f>
        <v/>
      </c>
      <c r="O68" s="6" t="n"/>
      <c r="P68" s="6" t="n"/>
      <c r="Q68" s="6" t="n"/>
      <c r="R68" s="6" t="n"/>
    </row>
    <row r="69">
      <c r="A69" s="6" t="n"/>
      <c r="B69" s="7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8" t="n"/>
      <c r="M69" s="9">
        <f>IF(L69="","",L69/1.1)</f>
        <v/>
      </c>
      <c r="N69" s="9">
        <f>IF(L69="","",L69-M69)</f>
        <v/>
      </c>
      <c r="O69" s="6" t="n"/>
      <c r="P69" s="6" t="n"/>
      <c r="Q69" s="6" t="n"/>
      <c r="R69" s="6" t="n"/>
    </row>
    <row r="70">
      <c r="A70" s="6" t="n"/>
      <c r="B70" s="7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8" t="n"/>
      <c r="M70" s="9">
        <f>IF(L70="","",L70/1.1)</f>
        <v/>
      </c>
      <c r="N70" s="9">
        <f>IF(L70="","",L70-M70)</f>
        <v/>
      </c>
      <c r="O70" s="6" t="n"/>
      <c r="P70" s="6" t="n"/>
      <c r="Q70" s="6" t="n"/>
      <c r="R70" s="6" t="n"/>
    </row>
    <row r="71">
      <c r="A71" s="6" t="n"/>
      <c r="B71" s="7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8" t="n"/>
      <c r="M71" s="9">
        <f>IF(L71="","",L71/1.1)</f>
        <v/>
      </c>
      <c r="N71" s="9">
        <f>IF(L71="","",L71-M71)</f>
        <v/>
      </c>
      <c r="O71" s="6" t="n"/>
      <c r="P71" s="6" t="n"/>
      <c r="Q71" s="6" t="n"/>
      <c r="R71" s="6" t="n"/>
    </row>
    <row r="72">
      <c r="A72" s="6" t="n"/>
      <c r="B72" s="7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8" t="n"/>
      <c r="M72" s="9">
        <f>IF(L72="","",L72/1.1)</f>
        <v/>
      </c>
      <c r="N72" s="9">
        <f>IF(L72="","",L72-M72)</f>
        <v/>
      </c>
      <c r="O72" s="6" t="n"/>
      <c r="P72" s="6" t="n"/>
      <c r="Q72" s="6" t="n"/>
      <c r="R72" s="6" t="n"/>
    </row>
    <row r="73">
      <c r="A73" s="6" t="n"/>
      <c r="B73" s="7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8" t="n"/>
      <c r="M73" s="9">
        <f>IF(L73="","",L73/1.1)</f>
        <v/>
      </c>
      <c r="N73" s="9">
        <f>IF(L73="","",L73-M73)</f>
        <v/>
      </c>
      <c r="O73" s="6" t="n"/>
      <c r="P73" s="6" t="n"/>
      <c r="Q73" s="6" t="n"/>
      <c r="R73" s="6" t="n"/>
    </row>
    <row r="74">
      <c r="A74" s="6" t="n"/>
      <c r="B74" s="7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8" t="n"/>
      <c r="M74" s="9">
        <f>IF(L74="","",L74/1.1)</f>
        <v/>
      </c>
      <c r="N74" s="9">
        <f>IF(L74="","",L74-M74)</f>
        <v/>
      </c>
      <c r="O74" s="6" t="n"/>
      <c r="P74" s="6" t="n"/>
      <c r="Q74" s="6" t="n"/>
      <c r="R74" s="6" t="n"/>
    </row>
    <row r="75">
      <c r="A75" s="6" t="n"/>
      <c r="B75" s="7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8" t="n"/>
      <c r="M75" s="9">
        <f>IF(L75="","",L75/1.1)</f>
        <v/>
      </c>
      <c r="N75" s="9">
        <f>IF(L75="","",L75-M75)</f>
        <v/>
      </c>
      <c r="O75" s="6" t="n"/>
      <c r="P75" s="6" t="n"/>
      <c r="Q75" s="6" t="n"/>
      <c r="R75" s="6" t="n"/>
    </row>
    <row r="76">
      <c r="A76" s="6" t="n"/>
      <c r="B76" s="7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8" t="n"/>
      <c r="M76" s="9">
        <f>IF(L76="","",L76/1.1)</f>
        <v/>
      </c>
      <c r="N76" s="9">
        <f>IF(L76="","",L76-M76)</f>
        <v/>
      </c>
      <c r="O76" s="6" t="n"/>
      <c r="P76" s="6" t="n"/>
      <c r="Q76" s="6" t="n"/>
      <c r="R76" s="6" t="n"/>
    </row>
    <row r="77">
      <c r="A77" s="6" t="n"/>
      <c r="B77" s="7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8" t="n"/>
      <c r="M77" s="9">
        <f>IF(L77="","",L77/1.1)</f>
        <v/>
      </c>
      <c r="N77" s="9">
        <f>IF(L77="","",L77-M77)</f>
        <v/>
      </c>
      <c r="O77" s="6" t="n"/>
      <c r="P77" s="6" t="n"/>
      <c r="Q77" s="6" t="n"/>
      <c r="R77" s="6" t="n"/>
    </row>
    <row r="78">
      <c r="A78" s="6" t="n"/>
      <c r="B78" s="7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8" t="n"/>
      <c r="M78" s="9">
        <f>IF(L78="","",L78/1.1)</f>
        <v/>
      </c>
      <c r="N78" s="9">
        <f>IF(L78="","",L78-M78)</f>
        <v/>
      </c>
      <c r="O78" s="6" t="n"/>
      <c r="P78" s="6" t="n"/>
      <c r="Q78" s="6" t="n"/>
      <c r="R78" s="6" t="n"/>
    </row>
    <row r="79">
      <c r="A79" s="6" t="n"/>
      <c r="B79" s="7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8" t="n"/>
      <c r="M79" s="9">
        <f>IF(L79="","",L79/1.1)</f>
        <v/>
      </c>
      <c r="N79" s="9">
        <f>IF(L79="","",L79-M79)</f>
        <v/>
      </c>
      <c r="O79" s="6" t="n"/>
      <c r="P79" s="6" t="n"/>
      <c r="Q79" s="6" t="n"/>
      <c r="R79" s="6" t="n"/>
    </row>
    <row r="80">
      <c r="A80" s="6" t="n"/>
      <c r="B80" s="7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8" t="n"/>
      <c r="M80" s="9">
        <f>IF(L80="","",L80/1.1)</f>
        <v/>
      </c>
      <c r="N80" s="9">
        <f>IF(L80="","",L80-M80)</f>
        <v/>
      </c>
      <c r="O80" s="6" t="n"/>
      <c r="P80" s="6" t="n"/>
      <c r="Q80" s="6" t="n"/>
      <c r="R80" s="6" t="n"/>
    </row>
    <row r="81">
      <c r="A81" s="6" t="n"/>
      <c r="B81" s="7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8" t="n"/>
      <c r="M81" s="9">
        <f>IF(L81="","",L81/1.1)</f>
        <v/>
      </c>
      <c r="N81" s="9">
        <f>IF(L81="","",L81-M81)</f>
        <v/>
      </c>
      <c r="O81" s="6" t="n"/>
      <c r="P81" s="6" t="n"/>
      <c r="Q81" s="6" t="n"/>
      <c r="R81" s="6" t="n"/>
    </row>
    <row r="82">
      <c r="A82" s="6" t="n"/>
      <c r="B82" s="7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8" t="n"/>
      <c r="M82" s="9">
        <f>IF(L82="","",L82/1.1)</f>
        <v/>
      </c>
      <c r="N82" s="9">
        <f>IF(L82="","",L82-M82)</f>
        <v/>
      </c>
      <c r="O82" s="6" t="n"/>
      <c r="P82" s="6" t="n"/>
      <c r="Q82" s="6" t="n"/>
      <c r="R82" s="6" t="n"/>
    </row>
    <row r="83">
      <c r="A83" s="6" t="n"/>
      <c r="B83" s="7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8" t="n"/>
      <c r="M83" s="9">
        <f>IF(L83="","",L83/1.1)</f>
        <v/>
      </c>
      <c r="N83" s="9">
        <f>IF(L83="","",L83-M83)</f>
        <v/>
      </c>
      <c r="O83" s="6" t="n"/>
      <c r="P83" s="6" t="n"/>
      <c r="Q83" s="6" t="n"/>
      <c r="R83" s="6" t="n"/>
    </row>
    <row r="84">
      <c r="A84" s="6" t="n"/>
      <c r="B84" s="7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8" t="n"/>
      <c r="M84" s="9">
        <f>IF(L84="","",L84/1.1)</f>
        <v/>
      </c>
      <c r="N84" s="9">
        <f>IF(L84="","",L84-M84)</f>
        <v/>
      </c>
      <c r="O84" s="6" t="n"/>
      <c r="P84" s="6" t="n"/>
      <c r="Q84" s="6" t="n"/>
      <c r="R84" s="6" t="n"/>
    </row>
    <row r="85">
      <c r="A85" s="6" t="n"/>
      <c r="B85" s="7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8" t="n"/>
      <c r="M85" s="9">
        <f>IF(L85="","",L85/1.1)</f>
        <v/>
      </c>
      <c r="N85" s="9">
        <f>IF(L85="","",L85-M85)</f>
        <v/>
      </c>
      <c r="O85" s="6" t="n"/>
      <c r="P85" s="6" t="n"/>
      <c r="Q85" s="6" t="n"/>
      <c r="R85" s="6" t="n"/>
    </row>
    <row r="86">
      <c r="A86" s="6" t="n"/>
      <c r="B86" s="7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8" t="n"/>
      <c r="M86" s="9">
        <f>IF(L86="","",L86/1.1)</f>
        <v/>
      </c>
      <c r="N86" s="9">
        <f>IF(L86="","",L86-M86)</f>
        <v/>
      </c>
      <c r="O86" s="6" t="n"/>
      <c r="P86" s="6" t="n"/>
      <c r="Q86" s="6" t="n"/>
      <c r="R86" s="6" t="n"/>
    </row>
    <row r="87">
      <c r="A87" s="6" t="n"/>
      <c r="B87" s="7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8" t="n"/>
      <c r="M87" s="9">
        <f>IF(L87="","",L87/1.1)</f>
        <v/>
      </c>
      <c r="N87" s="9">
        <f>IF(L87="","",L87-M87)</f>
        <v/>
      </c>
      <c r="O87" s="6" t="n"/>
      <c r="P87" s="6" t="n"/>
      <c r="Q87" s="6" t="n"/>
      <c r="R87" s="6" t="n"/>
    </row>
    <row r="88">
      <c r="A88" s="6" t="n"/>
      <c r="B88" s="7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8" t="n"/>
      <c r="M88" s="9">
        <f>IF(L88="","",L88/1.1)</f>
        <v/>
      </c>
      <c r="N88" s="9">
        <f>IF(L88="","",L88-M88)</f>
        <v/>
      </c>
      <c r="O88" s="6" t="n"/>
      <c r="P88" s="6" t="n"/>
      <c r="Q88" s="6" t="n"/>
      <c r="R88" s="6" t="n"/>
    </row>
    <row r="89">
      <c r="A89" s="6" t="n"/>
      <c r="B89" s="7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8" t="n"/>
      <c r="M89" s="9">
        <f>IF(L89="","",L89/1.1)</f>
        <v/>
      </c>
      <c r="N89" s="9">
        <f>IF(L89="","",L89-M89)</f>
        <v/>
      </c>
      <c r="O89" s="6" t="n"/>
      <c r="P89" s="6" t="n"/>
      <c r="Q89" s="6" t="n"/>
      <c r="R89" s="6" t="n"/>
    </row>
    <row r="90">
      <c r="A90" s="6" t="n"/>
      <c r="B90" s="7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8" t="n"/>
      <c r="M90" s="9">
        <f>IF(L90="","",L90/1.1)</f>
        <v/>
      </c>
      <c r="N90" s="9">
        <f>IF(L90="","",L90-M90)</f>
        <v/>
      </c>
      <c r="O90" s="6" t="n"/>
      <c r="P90" s="6" t="n"/>
      <c r="Q90" s="6" t="n"/>
      <c r="R90" s="6" t="n"/>
    </row>
    <row r="91">
      <c r="A91" s="6" t="n"/>
      <c r="B91" s="7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8" t="n"/>
      <c r="M91" s="9">
        <f>IF(L91="","",L91/1.1)</f>
        <v/>
      </c>
      <c r="N91" s="9">
        <f>IF(L91="","",L91-M91)</f>
        <v/>
      </c>
      <c r="O91" s="6" t="n"/>
      <c r="P91" s="6" t="n"/>
      <c r="Q91" s="6" t="n"/>
      <c r="R91" s="6" t="n"/>
    </row>
    <row r="92">
      <c r="A92" s="6" t="n"/>
      <c r="B92" s="7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8" t="n"/>
      <c r="M92" s="9">
        <f>IF(L92="","",L92/1.1)</f>
        <v/>
      </c>
      <c r="N92" s="9">
        <f>IF(L92="","",L92-M92)</f>
        <v/>
      </c>
      <c r="O92" s="6" t="n"/>
      <c r="P92" s="6" t="n"/>
      <c r="Q92" s="6" t="n"/>
      <c r="R92" s="6" t="n"/>
    </row>
    <row r="93">
      <c r="A93" s="6" t="n"/>
      <c r="B93" s="7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8" t="n"/>
      <c r="M93" s="9">
        <f>IF(L93="","",L93/1.1)</f>
        <v/>
      </c>
      <c r="N93" s="9">
        <f>IF(L93="","",L93-M93)</f>
        <v/>
      </c>
      <c r="O93" s="6" t="n"/>
      <c r="P93" s="6" t="n"/>
      <c r="Q93" s="6" t="n"/>
      <c r="R93" s="6" t="n"/>
    </row>
    <row r="94">
      <c r="A94" s="6" t="n"/>
      <c r="B94" s="7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8" t="n"/>
      <c r="M94" s="9">
        <f>IF(L94="","",L94/1.1)</f>
        <v/>
      </c>
      <c r="N94" s="9">
        <f>IF(L94="","",L94-M94)</f>
        <v/>
      </c>
      <c r="O94" s="6" t="n"/>
      <c r="P94" s="6" t="n"/>
      <c r="Q94" s="6" t="n"/>
      <c r="R94" s="6" t="n"/>
    </row>
    <row r="95">
      <c r="A95" s="6" t="n"/>
      <c r="B95" s="7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8" t="n"/>
      <c r="M95" s="9">
        <f>IF(L95="","",L95/1.1)</f>
        <v/>
      </c>
      <c r="N95" s="9">
        <f>IF(L95="","",L95-M95)</f>
        <v/>
      </c>
      <c r="O95" s="6" t="n"/>
      <c r="P95" s="6" t="n"/>
      <c r="Q95" s="6" t="n"/>
      <c r="R95" s="6" t="n"/>
    </row>
    <row r="96">
      <c r="A96" s="6" t="n"/>
      <c r="B96" s="7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8" t="n"/>
      <c r="M96" s="9">
        <f>IF(L96="","",L96/1.1)</f>
        <v/>
      </c>
      <c r="N96" s="9">
        <f>IF(L96="","",L96-M96)</f>
        <v/>
      </c>
      <c r="O96" s="6" t="n"/>
      <c r="P96" s="6" t="n"/>
      <c r="Q96" s="6" t="n"/>
      <c r="R96" s="6" t="n"/>
    </row>
    <row r="97">
      <c r="A97" s="6" t="n"/>
      <c r="B97" s="7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8" t="n"/>
      <c r="M97" s="9">
        <f>IF(L97="","",L97/1.1)</f>
        <v/>
      </c>
      <c r="N97" s="9">
        <f>IF(L97="","",L97-M97)</f>
        <v/>
      </c>
      <c r="O97" s="6" t="n"/>
      <c r="P97" s="6" t="n"/>
      <c r="Q97" s="6" t="n"/>
      <c r="R97" s="6" t="n"/>
    </row>
    <row r="98">
      <c r="A98" s="6" t="n"/>
      <c r="B98" s="7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8" t="n"/>
      <c r="M98" s="9">
        <f>IF(L98="","",L98/1.1)</f>
        <v/>
      </c>
      <c r="N98" s="9">
        <f>IF(L98="","",L98-M98)</f>
        <v/>
      </c>
      <c r="O98" s="6" t="n"/>
      <c r="P98" s="6" t="n"/>
      <c r="Q98" s="6" t="n"/>
      <c r="R98" s="6" t="n"/>
    </row>
    <row r="99">
      <c r="A99" s="6" t="n"/>
      <c r="B99" s="7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8" t="n"/>
      <c r="M99" s="9">
        <f>IF(L99="","",L99/1.1)</f>
        <v/>
      </c>
      <c r="N99" s="9">
        <f>IF(L99="","",L99-M99)</f>
        <v/>
      </c>
      <c r="O99" s="6" t="n"/>
      <c r="P99" s="6" t="n"/>
      <c r="Q99" s="6" t="n"/>
      <c r="R99" s="6" t="n"/>
    </row>
    <row r="100">
      <c r="A100" s="6" t="n"/>
      <c r="B100" s="7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8" t="n"/>
      <c r="M100" s="9">
        <f>IF(L100="","",L100/1.1)</f>
        <v/>
      </c>
      <c r="N100" s="9">
        <f>IF(L100="","",L100-M100)</f>
        <v/>
      </c>
      <c r="O100" s="6" t="n"/>
      <c r="P100" s="6" t="n"/>
      <c r="Q100" s="6" t="n"/>
      <c r="R100" s="6" t="n"/>
    </row>
    <row r="101">
      <c r="A101" s="6" t="n"/>
      <c r="B101" s="7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8" t="n"/>
      <c r="M101" s="9">
        <f>IF(L101="","",L101/1.1)</f>
        <v/>
      </c>
      <c r="N101" s="9">
        <f>IF(L101="","",L101-M101)</f>
        <v/>
      </c>
      <c r="O101" s="6" t="n"/>
      <c r="P101" s="6" t="n"/>
      <c r="Q101" s="6" t="n"/>
      <c r="R101" s="6" t="n"/>
    </row>
    <row r="102">
      <c r="A102" s="6" t="n"/>
      <c r="B102" s="7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8" t="n"/>
      <c r="M102" s="9">
        <f>IF(L102="","",L102/1.1)</f>
        <v/>
      </c>
      <c r="N102" s="9">
        <f>IF(L102="","",L102-M102)</f>
        <v/>
      </c>
      <c r="O102" s="6" t="n"/>
      <c r="P102" s="6" t="n"/>
      <c r="Q102" s="6" t="n"/>
      <c r="R102" s="6" t="n"/>
    </row>
    <row r="103">
      <c r="A103" s="6" t="n"/>
      <c r="B103" s="7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8" t="n"/>
      <c r="M103" s="9">
        <f>IF(L103="","",L103/1.1)</f>
        <v/>
      </c>
      <c r="N103" s="9">
        <f>IF(L103="","",L103-M103)</f>
        <v/>
      </c>
      <c r="O103" s="6" t="n"/>
      <c r="P103" s="6" t="n"/>
      <c r="Q103" s="6" t="n"/>
      <c r="R103" s="6" t="n"/>
    </row>
    <row r="104">
      <c r="A104" s="6" t="n"/>
      <c r="B104" s="7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8" t="n"/>
      <c r="M104" s="9">
        <f>IF(L104="","",L104/1.1)</f>
        <v/>
      </c>
      <c r="N104" s="9">
        <f>IF(L104="","",L104-M104)</f>
        <v/>
      </c>
      <c r="O104" s="6" t="n"/>
      <c r="P104" s="6" t="n"/>
      <c r="Q104" s="6" t="n"/>
      <c r="R104" s="6" t="n"/>
    </row>
    <row r="105">
      <c r="A105" s="6" t="n"/>
      <c r="B105" s="7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8" t="n"/>
      <c r="M105" s="9">
        <f>IF(L105="","",L105/1.1)</f>
        <v/>
      </c>
      <c r="N105" s="9">
        <f>IF(L105="","",L105-M105)</f>
        <v/>
      </c>
      <c r="O105" s="6" t="n"/>
      <c r="P105" s="6" t="n"/>
      <c r="Q105" s="6" t="n"/>
      <c r="R105" s="6" t="n"/>
    </row>
    <row r="106">
      <c r="A106" s="6" t="n"/>
      <c r="B106" s="7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8" t="n"/>
      <c r="M106" s="9">
        <f>IF(L106="","",L106/1.1)</f>
        <v/>
      </c>
      <c r="N106" s="9">
        <f>IF(L106="","",L106-M106)</f>
        <v/>
      </c>
      <c r="O106" s="6" t="n"/>
      <c r="P106" s="6" t="n"/>
      <c r="Q106" s="6" t="n"/>
      <c r="R106" s="6" t="n"/>
    </row>
    <row r="107">
      <c r="A107" s="6" t="n"/>
      <c r="B107" s="7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8" t="n"/>
      <c r="M107" s="9">
        <f>IF(L107="","",L107/1.1)</f>
        <v/>
      </c>
      <c r="N107" s="9">
        <f>IF(L107="","",L107-M107)</f>
        <v/>
      </c>
      <c r="O107" s="6" t="n"/>
      <c r="P107" s="6" t="n"/>
      <c r="Q107" s="6" t="n"/>
      <c r="R107" s="6" t="n"/>
    </row>
    <row r="108">
      <c r="A108" s="6" t="n"/>
      <c r="B108" s="7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8" t="n"/>
      <c r="M108" s="9">
        <f>IF(L108="","",L108/1.1)</f>
        <v/>
      </c>
      <c r="N108" s="9">
        <f>IF(L108="","",L108-M108)</f>
        <v/>
      </c>
      <c r="O108" s="6" t="n"/>
      <c r="P108" s="6" t="n"/>
      <c r="Q108" s="6" t="n"/>
      <c r="R108" s="6" t="n"/>
    </row>
    <row r="109">
      <c r="A109" s="6" t="n"/>
      <c r="B109" s="7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8" t="n"/>
      <c r="M109" s="9">
        <f>IF(L109="","",L109/1.1)</f>
        <v/>
      </c>
      <c r="N109" s="9">
        <f>IF(L109="","",L109-M109)</f>
        <v/>
      </c>
      <c r="O109" s="6" t="n"/>
      <c r="P109" s="6" t="n"/>
      <c r="Q109" s="6" t="n"/>
      <c r="R109" s="6" t="n"/>
    </row>
    <row r="110">
      <c r="A110" s="6" t="n"/>
      <c r="B110" s="7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8" t="n"/>
      <c r="M110" s="9">
        <f>IF(L110="","",L110/1.1)</f>
        <v/>
      </c>
      <c r="N110" s="9">
        <f>IF(L110="","",L110-M110)</f>
        <v/>
      </c>
      <c r="O110" s="6" t="n"/>
      <c r="P110" s="6" t="n"/>
      <c r="Q110" s="6" t="n"/>
      <c r="R110" s="6" t="n"/>
    </row>
    <row r="111">
      <c r="A111" s="6" t="n"/>
      <c r="B111" s="7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8" t="n"/>
      <c r="M111" s="9">
        <f>IF(L111="","",L111/1.1)</f>
        <v/>
      </c>
      <c r="N111" s="9">
        <f>IF(L111="","",L111-M111)</f>
        <v/>
      </c>
      <c r="O111" s="6" t="n"/>
      <c r="P111" s="6" t="n"/>
      <c r="Q111" s="6" t="n"/>
      <c r="R111" s="6" t="n"/>
    </row>
    <row r="112">
      <c r="A112" s="6" t="n"/>
      <c r="B112" s="7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8" t="n"/>
      <c r="M112" s="9">
        <f>IF(L112="","",L112/1.1)</f>
        <v/>
      </c>
      <c r="N112" s="9">
        <f>IF(L112="","",L112-M112)</f>
        <v/>
      </c>
      <c r="O112" s="6" t="n"/>
      <c r="P112" s="6" t="n"/>
      <c r="Q112" s="6" t="n"/>
      <c r="R112" s="6" t="n"/>
    </row>
    <row r="113">
      <c r="A113" s="6" t="n"/>
      <c r="B113" s="7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8" t="n"/>
      <c r="M113" s="9">
        <f>IF(L113="","",L113/1.1)</f>
        <v/>
      </c>
      <c r="N113" s="9">
        <f>IF(L113="","",L113-M113)</f>
        <v/>
      </c>
      <c r="O113" s="6" t="n"/>
      <c r="P113" s="6" t="n"/>
      <c r="Q113" s="6" t="n"/>
      <c r="R113" s="6" t="n"/>
    </row>
    <row r="114">
      <c r="A114" s="6" t="n"/>
      <c r="B114" s="7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8" t="n"/>
      <c r="M114" s="9">
        <f>IF(L114="","",L114/1.1)</f>
        <v/>
      </c>
      <c r="N114" s="9">
        <f>IF(L114="","",L114-M114)</f>
        <v/>
      </c>
      <c r="O114" s="6" t="n"/>
      <c r="P114" s="6" t="n"/>
      <c r="Q114" s="6" t="n"/>
      <c r="R114" s="6" t="n"/>
    </row>
    <row r="115">
      <c r="A115" s="6" t="n"/>
      <c r="B115" s="7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8" t="n"/>
      <c r="M115" s="9">
        <f>IF(L115="","",L115/1.1)</f>
        <v/>
      </c>
      <c r="N115" s="9">
        <f>IF(L115="","",L115-M115)</f>
        <v/>
      </c>
      <c r="O115" s="6" t="n"/>
      <c r="P115" s="6" t="n"/>
      <c r="Q115" s="6" t="n"/>
      <c r="R115" s="6" t="n"/>
    </row>
    <row r="116">
      <c r="A116" s="6" t="n"/>
      <c r="B116" s="7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8" t="n"/>
      <c r="M116" s="9">
        <f>IF(L116="","",L116/1.1)</f>
        <v/>
      </c>
      <c r="N116" s="9">
        <f>IF(L116="","",L116-M116)</f>
        <v/>
      </c>
      <c r="O116" s="6" t="n"/>
      <c r="P116" s="6" t="n"/>
      <c r="Q116" s="6" t="n"/>
      <c r="R116" s="6" t="n"/>
    </row>
    <row r="117">
      <c r="A117" s="6" t="n"/>
      <c r="B117" s="7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8" t="n"/>
      <c r="M117" s="9">
        <f>IF(L117="","",L117/1.1)</f>
        <v/>
      </c>
      <c r="N117" s="9">
        <f>IF(L117="","",L117-M117)</f>
        <v/>
      </c>
      <c r="O117" s="6" t="n"/>
      <c r="P117" s="6" t="n"/>
      <c r="Q117" s="6" t="n"/>
      <c r="R117" s="6" t="n"/>
    </row>
    <row r="118">
      <c r="A118" s="6" t="n"/>
      <c r="B118" s="7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8" t="n"/>
      <c r="M118" s="9">
        <f>IF(L118="","",L118/1.1)</f>
        <v/>
      </c>
      <c r="N118" s="9">
        <f>IF(L118="","",L118-M118)</f>
        <v/>
      </c>
      <c r="O118" s="6" t="n"/>
      <c r="P118" s="6" t="n"/>
      <c r="Q118" s="6" t="n"/>
      <c r="R118" s="6" t="n"/>
    </row>
    <row r="119">
      <c r="A119" s="6" t="n"/>
      <c r="B119" s="7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8" t="n"/>
      <c r="M119" s="9">
        <f>IF(L119="","",L119/1.1)</f>
        <v/>
      </c>
      <c r="N119" s="9">
        <f>IF(L119="","",L119-M119)</f>
        <v/>
      </c>
      <c r="O119" s="6" t="n"/>
      <c r="P119" s="6" t="n"/>
      <c r="Q119" s="6" t="n"/>
      <c r="R119" s="6" t="n"/>
    </row>
    <row r="120">
      <c r="A120" s="6" t="n"/>
      <c r="B120" s="7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8" t="n"/>
      <c r="M120" s="9">
        <f>IF(L120="","",L120/1.1)</f>
        <v/>
      </c>
      <c r="N120" s="9">
        <f>IF(L120="","",L120-M120)</f>
        <v/>
      </c>
      <c r="O120" s="6" t="n"/>
      <c r="P120" s="6" t="n"/>
      <c r="Q120" s="6" t="n"/>
      <c r="R120" s="6" t="n"/>
    </row>
    <row r="121">
      <c r="A121" s="6" t="n"/>
      <c r="B121" s="7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8" t="n"/>
      <c r="M121" s="9">
        <f>IF(L121="","",L121/1.1)</f>
        <v/>
      </c>
      <c r="N121" s="9">
        <f>IF(L121="","",L121-M121)</f>
        <v/>
      </c>
      <c r="O121" s="6" t="n"/>
      <c r="P121" s="6" t="n"/>
      <c r="Q121" s="6" t="n"/>
      <c r="R121" s="6" t="n"/>
    </row>
    <row r="122">
      <c r="A122" s="6" t="n"/>
      <c r="B122" s="7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8" t="n"/>
      <c r="M122" s="9">
        <f>IF(L122="","",L122/1.1)</f>
        <v/>
      </c>
      <c r="N122" s="9">
        <f>IF(L122="","",L122-M122)</f>
        <v/>
      </c>
      <c r="O122" s="6" t="n"/>
      <c r="P122" s="6" t="n"/>
      <c r="Q122" s="6" t="n"/>
      <c r="R122" s="6" t="n"/>
    </row>
    <row r="123">
      <c r="A123" s="6" t="n"/>
      <c r="B123" s="7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8" t="n"/>
      <c r="M123" s="9">
        <f>IF(L123="","",L123/1.1)</f>
        <v/>
      </c>
      <c r="N123" s="9">
        <f>IF(L123="","",L123-M123)</f>
        <v/>
      </c>
      <c r="O123" s="6" t="n"/>
      <c r="P123" s="6" t="n"/>
      <c r="Q123" s="6" t="n"/>
      <c r="R123" s="6" t="n"/>
    </row>
    <row r="124">
      <c r="A124" s="6" t="n"/>
      <c r="B124" s="7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8" t="n"/>
      <c r="M124" s="9">
        <f>IF(L124="","",L124/1.1)</f>
        <v/>
      </c>
      <c r="N124" s="9">
        <f>IF(L124="","",L124-M124)</f>
        <v/>
      </c>
      <c r="O124" s="6" t="n"/>
      <c r="P124" s="6" t="n"/>
      <c r="Q124" s="6" t="n"/>
      <c r="R124" s="6" t="n"/>
    </row>
    <row r="125">
      <c r="A125" s="6" t="n"/>
      <c r="B125" s="7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8" t="n"/>
      <c r="M125" s="9">
        <f>IF(L125="","",L125/1.1)</f>
        <v/>
      </c>
      <c r="N125" s="9">
        <f>IF(L125="","",L125-M125)</f>
        <v/>
      </c>
      <c r="O125" s="6" t="n"/>
      <c r="P125" s="6" t="n"/>
      <c r="Q125" s="6" t="n"/>
      <c r="R125" s="6" t="n"/>
    </row>
    <row r="126">
      <c r="A126" s="6" t="n"/>
      <c r="B126" s="7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8" t="n"/>
      <c r="M126" s="9">
        <f>IF(L126="","",L126/1.1)</f>
        <v/>
      </c>
      <c r="N126" s="9">
        <f>IF(L126="","",L126-M126)</f>
        <v/>
      </c>
      <c r="O126" s="6" t="n"/>
      <c r="P126" s="6" t="n"/>
      <c r="Q126" s="6" t="n"/>
      <c r="R126" s="6" t="n"/>
    </row>
    <row r="127">
      <c r="A127" s="6" t="n"/>
      <c r="B127" s="7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8" t="n"/>
      <c r="M127" s="9">
        <f>IF(L127="","",L127/1.1)</f>
        <v/>
      </c>
      <c r="N127" s="9">
        <f>IF(L127="","",L127-M127)</f>
        <v/>
      </c>
      <c r="O127" s="6" t="n"/>
      <c r="P127" s="6" t="n"/>
      <c r="Q127" s="6" t="n"/>
      <c r="R127" s="6" t="n"/>
    </row>
    <row r="128">
      <c r="A128" s="6" t="n"/>
      <c r="B128" s="7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8" t="n"/>
      <c r="M128" s="9">
        <f>IF(L128="","",L128/1.1)</f>
        <v/>
      </c>
      <c r="N128" s="9">
        <f>IF(L128="","",L128-M128)</f>
        <v/>
      </c>
      <c r="O128" s="6" t="n"/>
      <c r="P128" s="6" t="n"/>
      <c r="Q128" s="6" t="n"/>
      <c r="R128" s="6" t="n"/>
    </row>
    <row r="129">
      <c r="A129" s="6" t="n"/>
      <c r="B129" s="7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8" t="n"/>
      <c r="M129" s="9">
        <f>IF(L129="","",L129/1.1)</f>
        <v/>
      </c>
      <c r="N129" s="9">
        <f>IF(L129="","",L129-M129)</f>
        <v/>
      </c>
      <c r="O129" s="6" t="n"/>
      <c r="P129" s="6" t="n"/>
      <c r="Q129" s="6" t="n"/>
      <c r="R129" s="6" t="n"/>
    </row>
    <row r="130">
      <c r="A130" s="6" t="n"/>
      <c r="B130" s="7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8" t="n"/>
      <c r="M130" s="9">
        <f>IF(L130="","",L130/1.1)</f>
        <v/>
      </c>
      <c r="N130" s="9">
        <f>IF(L130="","",L130-M130)</f>
        <v/>
      </c>
      <c r="O130" s="6" t="n"/>
      <c r="P130" s="6" t="n"/>
      <c r="Q130" s="6" t="n"/>
      <c r="R130" s="6" t="n"/>
    </row>
    <row r="131">
      <c r="A131" s="6" t="n"/>
      <c r="B131" s="7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8" t="n"/>
      <c r="M131" s="9">
        <f>IF(L131="","",L131/1.1)</f>
        <v/>
      </c>
      <c r="N131" s="9">
        <f>IF(L131="","",L131-M131)</f>
        <v/>
      </c>
      <c r="O131" s="6" t="n"/>
      <c r="P131" s="6" t="n"/>
      <c r="Q131" s="6" t="n"/>
      <c r="R131" s="6" t="n"/>
    </row>
    <row r="132">
      <c r="A132" s="6" t="n"/>
      <c r="B132" s="7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8" t="n"/>
      <c r="M132" s="9">
        <f>IF(L132="","",L132/1.1)</f>
        <v/>
      </c>
      <c r="N132" s="9">
        <f>IF(L132="","",L132-M132)</f>
        <v/>
      </c>
      <c r="O132" s="6" t="n"/>
      <c r="P132" s="6" t="n"/>
      <c r="Q132" s="6" t="n"/>
      <c r="R132" s="6" t="n"/>
    </row>
    <row r="133">
      <c r="A133" s="6" t="n"/>
      <c r="B133" s="7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8" t="n"/>
      <c r="M133" s="9">
        <f>IF(L133="","",L133/1.1)</f>
        <v/>
      </c>
      <c r="N133" s="9">
        <f>IF(L133="","",L133-M133)</f>
        <v/>
      </c>
      <c r="O133" s="6" t="n"/>
      <c r="P133" s="6" t="n"/>
      <c r="Q133" s="6" t="n"/>
      <c r="R133" s="6" t="n"/>
    </row>
    <row r="134">
      <c r="A134" s="6" t="n"/>
      <c r="B134" s="7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8" t="n"/>
      <c r="M134" s="9">
        <f>IF(L134="","",L134/1.1)</f>
        <v/>
      </c>
      <c r="N134" s="9">
        <f>IF(L134="","",L134-M134)</f>
        <v/>
      </c>
      <c r="O134" s="6" t="n"/>
      <c r="P134" s="6" t="n"/>
      <c r="Q134" s="6" t="n"/>
      <c r="R134" s="6" t="n"/>
    </row>
    <row r="135">
      <c r="A135" s="6" t="n"/>
      <c r="B135" s="7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8" t="n"/>
      <c r="M135" s="9">
        <f>IF(L135="","",L135/1.1)</f>
        <v/>
      </c>
      <c r="N135" s="9">
        <f>IF(L135="","",L135-M135)</f>
        <v/>
      </c>
      <c r="O135" s="6" t="n"/>
      <c r="P135" s="6" t="n"/>
      <c r="Q135" s="6" t="n"/>
      <c r="R135" s="6" t="n"/>
    </row>
    <row r="136">
      <c r="A136" s="6" t="n"/>
      <c r="B136" s="7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8" t="n"/>
      <c r="M136" s="9">
        <f>IF(L136="","",L136/1.1)</f>
        <v/>
      </c>
      <c r="N136" s="9">
        <f>IF(L136="","",L136-M136)</f>
        <v/>
      </c>
      <c r="O136" s="6" t="n"/>
      <c r="P136" s="6" t="n"/>
      <c r="Q136" s="6" t="n"/>
      <c r="R136" s="6" t="n"/>
    </row>
    <row r="137">
      <c r="A137" s="6" t="n"/>
      <c r="B137" s="7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8" t="n"/>
      <c r="M137" s="9">
        <f>IF(L137="","",L137/1.1)</f>
        <v/>
      </c>
      <c r="N137" s="9">
        <f>IF(L137="","",L137-M137)</f>
        <v/>
      </c>
      <c r="O137" s="6" t="n"/>
      <c r="P137" s="6" t="n"/>
      <c r="Q137" s="6" t="n"/>
      <c r="R137" s="6" t="n"/>
    </row>
    <row r="138">
      <c r="A138" s="6" t="n"/>
      <c r="B138" s="7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8" t="n"/>
      <c r="M138" s="9">
        <f>IF(L138="","",L138/1.1)</f>
        <v/>
      </c>
      <c r="N138" s="9">
        <f>IF(L138="","",L138-M138)</f>
        <v/>
      </c>
      <c r="O138" s="6" t="n"/>
      <c r="P138" s="6" t="n"/>
      <c r="Q138" s="6" t="n"/>
      <c r="R138" s="6" t="n"/>
    </row>
    <row r="139">
      <c r="A139" s="6" t="n"/>
      <c r="B139" s="7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8" t="n"/>
      <c r="M139" s="9">
        <f>IF(L139="","",L139/1.1)</f>
        <v/>
      </c>
      <c r="N139" s="9">
        <f>IF(L139="","",L139-M139)</f>
        <v/>
      </c>
      <c r="O139" s="6" t="n"/>
      <c r="P139" s="6" t="n"/>
      <c r="Q139" s="6" t="n"/>
      <c r="R139" s="6" t="n"/>
    </row>
    <row r="140">
      <c r="A140" s="6" t="n"/>
      <c r="B140" s="7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8" t="n"/>
      <c r="M140" s="9">
        <f>IF(L140="","",L140/1.1)</f>
        <v/>
      </c>
      <c r="N140" s="9">
        <f>IF(L140="","",L140-M140)</f>
        <v/>
      </c>
      <c r="O140" s="6" t="n"/>
      <c r="P140" s="6" t="n"/>
      <c r="Q140" s="6" t="n"/>
      <c r="R140" s="6" t="n"/>
    </row>
    <row r="141">
      <c r="A141" s="6" t="n"/>
      <c r="B141" s="7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8" t="n"/>
      <c r="M141" s="9">
        <f>IF(L141="","",L141/1.1)</f>
        <v/>
      </c>
      <c r="N141" s="9">
        <f>IF(L141="","",L141-M141)</f>
        <v/>
      </c>
      <c r="O141" s="6" t="n"/>
      <c r="P141" s="6" t="n"/>
      <c r="Q141" s="6" t="n"/>
      <c r="R141" s="6" t="n"/>
    </row>
    <row r="142">
      <c r="A142" s="6" t="n"/>
      <c r="B142" s="7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8" t="n"/>
      <c r="M142" s="9">
        <f>IF(L142="","",L142/1.1)</f>
        <v/>
      </c>
      <c r="N142" s="9">
        <f>IF(L142="","",L142-M142)</f>
        <v/>
      </c>
      <c r="O142" s="6" t="n"/>
      <c r="P142" s="6" t="n"/>
      <c r="Q142" s="6" t="n"/>
      <c r="R142" s="6" t="n"/>
    </row>
    <row r="143">
      <c r="A143" s="6" t="n"/>
      <c r="B143" s="7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8" t="n"/>
      <c r="M143" s="9">
        <f>IF(L143="","",L143/1.1)</f>
        <v/>
      </c>
      <c r="N143" s="9">
        <f>IF(L143="","",L143-M143)</f>
        <v/>
      </c>
      <c r="O143" s="6" t="n"/>
      <c r="P143" s="6" t="n"/>
      <c r="Q143" s="6" t="n"/>
      <c r="R143" s="6" t="n"/>
    </row>
    <row r="144">
      <c r="A144" s="6" t="n"/>
      <c r="B144" s="7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8" t="n"/>
      <c r="M144" s="9">
        <f>IF(L144="","",L144/1.1)</f>
        <v/>
      </c>
      <c r="N144" s="9">
        <f>IF(L144="","",L144-M144)</f>
        <v/>
      </c>
      <c r="O144" s="6" t="n"/>
      <c r="P144" s="6" t="n"/>
      <c r="Q144" s="6" t="n"/>
      <c r="R144" s="6" t="n"/>
    </row>
    <row r="145">
      <c r="A145" s="6" t="n"/>
      <c r="B145" s="7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8" t="n"/>
      <c r="M145" s="9">
        <f>IF(L145="","",L145/1.1)</f>
        <v/>
      </c>
      <c r="N145" s="9">
        <f>IF(L145="","",L145-M145)</f>
        <v/>
      </c>
      <c r="O145" s="6" t="n"/>
      <c r="P145" s="6" t="n"/>
      <c r="Q145" s="6" t="n"/>
      <c r="R145" s="6" t="n"/>
    </row>
    <row r="146">
      <c r="A146" s="6" t="n"/>
      <c r="B146" s="7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8" t="n"/>
      <c r="M146" s="9">
        <f>IF(L146="","",L146/1.1)</f>
        <v/>
      </c>
      <c r="N146" s="9">
        <f>IF(L146="","",L146-M146)</f>
        <v/>
      </c>
      <c r="O146" s="6" t="n"/>
      <c r="P146" s="6" t="n"/>
      <c r="Q146" s="6" t="n"/>
      <c r="R146" s="6" t="n"/>
    </row>
    <row r="147">
      <c r="A147" s="6" t="n"/>
      <c r="B147" s="7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8" t="n"/>
      <c r="M147" s="9">
        <f>IF(L147="","",L147/1.1)</f>
        <v/>
      </c>
      <c r="N147" s="9">
        <f>IF(L147="","",L147-M147)</f>
        <v/>
      </c>
      <c r="O147" s="6" t="n"/>
      <c r="P147" s="6" t="n"/>
      <c r="Q147" s="6" t="n"/>
      <c r="R147" s="6" t="n"/>
    </row>
    <row r="148">
      <c r="A148" s="6" t="n"/>
      <c r="B148" s="7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8" t="n"/>
      <c r="M148" s="9">
        <f>IF(L148="","",L148/1.1)</f>
        <v/>
      </c>
      <c r="N148" s="9">
        <f>IF(L148="","",L148-M148)</f>
        <v/>
      </c>
      <c r="O148" s="6" t="n"/>
      <c r="P148" s="6" t="n"/>
      <c r="Q148" s="6" t="n"/>
      <c r="R148" s="6" t="n"/>
    </row>
    <row r="149">
      <c r="A149" s="6" t="n"/>
      <c r="B149" s="7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8" t="n"/>
      <c r="M149" s="9">
        <f>IF(L149="","",L149/1.1)</f>
        <v/>
      </c>
      <c r="N149" s="9">
        <f>IF(L149="","",L149-M149)</f>
        <v/>
      </c>
      <c r="O149" s="6" t="n"/>
      <c r="P149" s="6" t="n"/>
      <c r="Q149" s="6" t="n"/>
      <c r="R149" s="6" t="n"/>
    </row>
    <row r="150">
      <c r="A150" s="6" t="n"/>
      <c r="B150" s="7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8" t="n"/>
      <c r="M150" s="9">
        <f>IF(L150="","",L150/1.1)</f>
        <v/>
      </c>
      <c r="N150" s="9">
        <f>IF(L150="","",L150-M150)</f>
        <v/>
      </c>
      <c r="O150" s="6" t="n"/>
      <c r="P150" s="6" t="n"/>
      <c r="Q150" s="6" t="n"/>
      <c r="R150" s="6" t="n"/>
    </row>
    <row r="151">
      <c r="A151" s="6" t="n"/>
      <c r="B151" s="7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8" t="n"/>
      <c r="M151" s="9">
        <f>IF(L151="","",L151/1.1)</f>
        <v/>
      </c>
      <c r="N151" s="9">
        <f>IF(L151="","",L151-M151)</f>
        <v/>
      </c>
      <c r="O151" s="6" t="n"/>
      <c r="P151" s="6" t="n"/>
      <c r="Q151" s="6" t="n"/>
      <c r="R151" s="6" t="n"/>
    </row>
    <row r="152">
      <c r="A152" s="6" t="n"/>
      <c r="B152" s="7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8" t="n"/>
      <c r="M152" s="9">
        <f>IF(L152="","",L152/1.1)</f>
        <v/>
      </c>
      <c r="N152" s="9">
        <f>IF(L152="","",L152-M152)</f>
        <v/>
      </c>
      <c r="O152" s="6" t="n"/>
      <c r="P152" s="6" t="n"/>
      <c r="Q152" s="6" t="n"/>
      <c r="R152" s="6" t="n"/>
    </row>
    <row r="153">
      <c r="A153" s="6" t="n"/>
      <c r="B153" s="7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8" t="n"/>
      <c r="M153" s="9">
        <f>IF(L153="","",L153/1.1)</f>
        <v/>
      </c>
      <c r="N153" s="9">
        <f>IF(L153="","",L153-M153)</f>
        <v/>
      </c>
      <c r="O153" s="6" t="n"/>
      <c r="P153" s="6" t="n"/>
      <c r="Q153" s="6" t="n"/>
      <c r="R153" s="6" t="n"/>
    </row>
    <row r="154">
      <c r="A154" s="6" t="n"/>
      <c r="B154" s="7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8" t="n"/>
      <c r="M154" s="9">
        <f>IF(L154="","",L154/1.1)</f>
        <v/>
      </c>
      <c r="N154" s="9">
        <f>IF(L154="","",L154-M154)</f>
        <v/>
      </c>
      <c r="O154" s="6" t="n"/>
      <c r="P154" s="6" t="n"/>
      <c r="Q154" s="6" t="n"/>
      <c r="R154" s="6" t="n"/>
    </row>
  </sheetData>
  <autoFilter ref="A4:R154"/>
  <dataValidations count="4">
    <dataValidation sqref="O5:O154" showDropDown="0" showInputMessage="0" showErrorMessage="0" allowBlank="1" type="list">
      <formula1>"En attente,Confirmée,Réalisée,Annulée"</formula1>
    </dataValidation>
    <dataValidation sqref="P5:P154" showDropDown="0" showInputMessage="0" showErrorMessage="0" allowBlank="1" type="list">
      <formula1>"Oui,Non"</formula1>
    </dataValidation>
    <dataValidation sqref="H5:H154" showDropDown="0" showInputMessage="0" showErrorMessage="0" allowBlank="1" type="list">
      <formula1>"Trajet simple,Mise à disposition,Forfait aéroport"</formula1>
    </dataValidation>
    <dataValidation sqref="I5:I154" showDropDown="0" showInputMessage="0" showErrorMessage="0" allowBlank="1" type="list">
      <formula1>"Berline,Berline VIP,Van,Van VIP"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15" customWidth="1" min="5" max="5"/>
    <col width="16" customWidth="1" min="6" max="6"/>
    <col width="34" customWidth="1" min="7" max="7"/>
  </cols>
  <sheetData>
    <row r="1">
      <c r="A1" s="1" t="inlineStr">
        <is>
          <t>Fichier clients</t>
        </is>
      </c>
    </row>
    <row r="2">
      <c r="A2" s="4" t="inlineStr">
        <is>
          <t>Saisissez le nom et le téléphone ; le reste se calcule depuis l'onglet Courses.</t>
        </is>
      </c>
    </row>
    <row r="4" ht="28" customHeight="1">
      <c r="A4" s="5" t="inlineStr">
        <is>
          <t>Client</t>
        </is>
      </c>
      <c r="B4" s="5" t="inlineStr">
        <is>
          <t>Téléphone</t>
        </is>
      </c>
      <c r="C4" s="5" t="inlineStr">
        <is>
          <t>Nb courses</t>
        </is>
      </c>
      <c r="D4" s="5" t="inlineStr">
        <is>
          <t>Total dépensé</t>
        </is>
      </c>
      <c r="E4" s="5" t="inlineStr">
        <is>
          <t>Panier moyen</t>
        </is>
      </c>
      <c r="F4" s="5" t="inlineStr">
        <is>
          <t>Dernière course</t>
        </is>
      </c>
      <c r="G4" s="5" t="inlineStr">
        <is>
          <t>Notes</t>
        </is>
      </c>
    </row>
    <row r="5">
      <c r="A5" s="6" t="inlineStr">
        <is>
          <t>Marie Durand</t>
        </is>
      </c>
      <c r="B5" s="6" t="inlineStr">
        <is>
          <t>+33 6 11 22 33 44</t>
        </is>
      </c>
      <c r="C5" s="11">
        <f>IF(A5="","",COUNTIF(Courses!$D$5:$D$154,A5))</f>
        <v/>
      </c>
      <c r="D5" s="9">
        <f>IF(A5="","",SUMIF(Courses!$D$5:$D$154,A5,Courses!$L$5:$L$154))</f>
        <v/>
      </c>
      <c r="E5" s="9">
        <f>IF(OR(A5="",C5=0),"",D5/C5)</f>
        <v/>
      </c>
      <c r="F5" s="12">
        <f>IF(OR(A5="",C5=0),"",SUMPRODUCT(MAX((Courses!$D$5:$D$154=A5)*(Courses!$B$5:$B$154))))</f>
        <v/>
      </c>
      <c r="G5" s="10" t="inlineStr">
        <is>
          <t>Exemple — remplacez par votre premier client</t>
        </is>
      </c>
    </row>
    <row r="6">
      <c r="A6" s="6" t="n"/>
      <c r="B6" s="6" t="n"/>
      <c r="C6" s="11">
        <f>IF(A6="","",COUNTIF(Courses!$D$5:$D$154,A6))</f>
        <v/>
      </c>
      <c r="D6" s="9">
        <f>IF(A6="","",SUMIF(Courses!$D$5:$D$154,A6,Courses!$L$5:$L$154))</f>
        <v/>
      </c>
      <c r="E6" s="9">
        <f>IF(OR(A6="",C6=0),"",D6/C6)</f>
        <v/>
      </c>
      <c r="F6" s="12">
        <f>IF(OR(A6="",C6=0),"",SUMPRODUCT(MAX((Courses!$D$5:$D$154=A6)*(Courses!$B$5:$B$154))))</f>
        <v/>
      </c>
      <c r="G6" s="6" t="n"/>
    </row>
    <row r="7">
      <c r="A7" s="6" t="n"/>
      <c r="B7" s="6" t="n"/>
      <c r="C7" s="11">
        <f>IF(A7="","",COUNTIF(Courses!$D$5:$D$154,A7))</f>
        <v/>
      </c>
      <c r="D7" s="9">
        <f>IF(A7="","",SUMIF(Courses!$D$5:$D$154,A7,Courses!$L$5:$L$154))</f>
        <v/>
      </c>
      <c r="E7" s="9">
        <f>IF(OR(A7="",C7=0),"",D7/C7)</f>
        <v/>
      </c>
      <c r="F7" s="12">
        <f>IF(OR(A7="",C7=0),"",SUMPRODUCT(MAX((Courses!$D$5:$D$154=A7)*(Courses!$B$5:$B$154))))</f>
        <v/>
      </c>
      <c r="G7" s="6" t="n"/>
    </row>
    <row r="8">
      <c r="A8" s="6" t="n"/>
      <c r="B8" s="6" t="n"/>
      <c r="C8" s="11">
        <f>IF(A8="","",COUNTIF(Courses!$D$5:$D$154,A8))</f>
        <v/>
      </c>
      <c r="D8" s="9">
        <f>IF(A8="","",SUMIF(Courses!$D$5:$D$154,A8,Courses!$L$5:$L$154))</f>
        <v/>
      </c>
      <c r="E8" s="9">
        <f>IF(OR(A8="",C8=0),"",D8/C8)</f>
        <v/>
      </c>
      <c r="F8" s="12">
        <f>IF(OR(A8="",C8=0),"",SUMPRODUCT(MAX((Courses!$D$5:$D$154=A8)*(Courses!$B$5:$B$154))))</f>
        <v/>
      </c>
      <c r="G8" s="6" t="n"/>
    </row>
    <row r="9">
      <c r="A9" s="6" t="n"/>
      <c r="B9" s="6" t="n"/>
      <c r="C9" s="11">
        <f>IF(A9="","",COUNTIF(Courses!$D$5:$D$154,A9))</f>
        <v/>
      </c>
      <c r="D9" s="9">
        <f>IF(A9="","",SUMIF(Courses!$D$5:$D$154,A9,Courses!$L$5:$L$154))</f>
        <v/>
      </c>
      <c r="E9" s="9">
        <f>IF(OR(A9="",C9=0),"",D9/C9)</f>
        <v/>
      </c>
      <c r="F9" s="12">
        <f>IF(OR(A9="",C9=0),"",SUMPRODUCT(MAX((Courses!$D$5:$D$154=A9)*(Courses!$B$5:$B$154))))</f>
        <v/>
      </c>
      <c r="G9" s="6" t="n"/>
    </row>
    <row r="10">
      <c r="A10" s="6" t="n"/>
      <c r="B10" s="6" t="n"/>
      <c r="C10" s="11">
        <f>IF(A10="","",COUNTIF(Courses!$D$5:$D$154,A10))</f>
        <v/>
      </c>
      <c r="D10" s="9">
        <f>IF(A10="","",SUMIF(Courses!$D$5:$D$154,A10,Courses!$L$5:$L$154))</f>
        <v/>
      </c>
      <c r="E10" s="9">
        <f>IF(OR(A10="",C10=0),"",D10/C10)</f>
        <v/>
      </c>
      <c r="F10" s="12">
        <f>IF(OR(A10="",C10=0),"",SUMPRODUCT(MAX((Courses!$D$5:$D$154=A10)*(Courses!$B$5:$B$154))))</f>
        <v/>
      </c>
      <c r="G10" s="6" t="n"/>
    </row>
    <row r="11">
      <c r="A11" s="6" t="n"/>
      <c r="B11" s="6" t="n"/>
      <c r="C11" s="11">
        <f>IF(A11="","",COUNTIF(Courses!$D$5:$D$154,A11))</f>
        <v/>
      </c>
      <c r="D11" s="9">
        <f>IF(A11="","",SUMIF(Courses!$D$5:$D$154,A11,Courses!$L$5:$L$154))</f>
        <v/>
      </c>
      <c r="E11" s="9">
        <f>IF(OR(A11="",C11=0),"",D11/C11)</f>
        <v/>
      </c>
      <c r="F11" s="12">
        <f>IF(OR(A11="",C11=0),"",SUMPRODUCT(MAX((Courses!$D$5:$D$154=A11)*(Courses!$B$5:$B$154))))</f>
        <v/>
      </c>
      <c r="G11" s="6" t="n"/>
    </row>
    <row r="12">
      <c r="A12" s="6" t="n"/>
      <c r="B12" s="6" t="n"/>
      <c r="C12" s="11">
        <f>IF(A12="","",COUNTIF(Courses!$D$5:$D$154,A12))</f>
        <v/>
      </c>
      <c r="D12" s="9">
        <f>IF(A12="","",SUMIF(Courses!$D$5:$D$154,A12,Courses!$L$5:$L$154))</f>
        <v/>
      </c>
      <c r="E12" s="9">
        <f>IF(OR(A12="",C12=0),"",D12/C12)</f>
        <v/>
      </c>
      <c r="F12" s="12">
        <f>IF(OR(A12="",C12=0),"",SUMPRODUCT(MAX((Courses!$D$5:$D$154=A12)*(Courses!$B$5:$B$154))))</f>
        <v/>
      </c>
      <c r="G12" s="6" t="n"/>
    </row>
    <row r="13">
      <c r="A13" s="6" t="n"/>
      <c r="B13" s="6" t="n"/>
      <c r="C13" s="11">
        <f>IF(A13="","",COUNTIF(Courses!$D$5:$D$154,A13))</f>
        <v/>
      </c>
      <c r="D13" s="9">
        <f>IF(A13="","",SUMIF(Courses!$D$5:$D$154,A13,Courses!$L$5:$L$154))</f>
        <v/>
      </c>
      <c r="E13" s="9">
        <f>IF(OR(A13="",C13=0),"",D13/C13)</f>
        <v/>
      </c>
      <c r="F13" s="12">
        <f>IF(OR(A13="",C13=0),"",SUMPRODUCT(MAX((Courses!$D$5:$D$154=A13)*(Courses!$B$5:$B$154))))</f>
        <v/>
      </c>
      <c r="G13" s="6" t="n"/>
    </row>
    <row r="14">
      <c r="A14" s="6" t="n"/>
      <c r="B14" s="6" t="n"/>
      <c r="C14" s="11">
        <f>IF(A14="","",COUNTIF(Courses!$D$5:$D$154,A14))</f>
        <v/>
      </c>
      <c r="D14" s="9">
        <f>IF(A14="","",SUMIF(Courses!$D$5:$D$154,A14,Courses!$L$5:$L$154))</f>
        <v/>
      </c>
      <c r="E14" s="9">
        <f>IF(OR(A14="",C14=0),"",D14/C14)</f>
        <v/>
      </c>
      <c r="F14" s="12">
        <f>IF(OR(A14="",C14=0),"",SUMPRODUCT(MAX((Courses!$D$5:$D$154=A14)*(Courses!$B$5:$B$154))))</f>
        <v/>
      </c>
      <c r="G14" s="6" t="n"/>
    </row>
    <row r="15">
      <c r="A15" s="6" t="n"/>
      <c r="B15" s="6" t="n"/>
      <c r="C15" s="11">
        <f>IF(A15="","",COUNTIF(Courses!$D$5:$D$154,A15))</f>
        <v/>
      </c>
      <c r="D15" s="9">
        <f>IF(A15="","",SUMIF(Courses!$D$5:$D$154,A15,Courses!$L$5:$L$154))</f>
        <v/>
      </c>
      <c r="E15" s="9">
        <f>IF(OR(A15="",C15=0),"",D15/C15)</f>
        <v/>
      </c>
      <c r="F15" s="12">
        <f>IF(OR(A15="",C15=0),"",SUMPRODUCT(MAX((Courses!$D$5:$D$154=A15)*(Courses!$B$5:$B$154))))</f>
        <v/>
      </c>
      <c r="G15" s="6" t="n"/>
    </row>
    <row r="16">
      <c r="A16" s="6" t="n"/>
      <c r="B16" s="6" t="n"/>
      <c r="C16" s="11">
        <f>IF(A16="","",COUNTIF(Courses!$D$5:$D$154,A16))</f>
        <v/>
      </c>
      <c r="D16" s="9">
        <f>IF(A16="","",SUMIF(Courses!$D$5:$D$154,A16,Courses!$L$5:$L$154))</f>
        <v/>
      </c>
      <c r="E16" s="9">
        <f>IF(OR(A16="",C16=0),"",D16/C16)</f>
        <v/>
      </c>
      <c r="F16" s="12">
        <f>IF(OR(A16="",C16=0),"",SUMPRODUCT(MAX((Courses!$D$5:$D$154=A16)*(Courses!$B$5:$B$154))))</f>
        <v/>
      </c>
      <c r="G16" s="6" t="n"/>
    </row>
    <row r="17">
      <c r="A17" s="6" t="n"/>
      <c r="B17" s="6" t="n"/>
      <c r="C17" s="11">
        <f>IF(A17="","",COUNTIF(Courses!$D$5:$D$154,A17))</f>
        <v/>
      </c>
      <c r="D17" s="9">
        <f>IF(A17="","",SUMIF(Courses!$D$5:$D$154,A17,Courses!$L$5:$L$154))</f>
        <v/>
      </c>
      <c r="E17" s="9">
        <f>IF(OR(A17="",C17=0),"",D17/C17)</f>
        <v/>
      </c>
      <c r="F17" s="12">
        <f>IF(OR(A17="",C17=0),"",SUMPRODUCT(MAX((Courses!$D$5:$D$154=A17)*(Courses!$B$5:$B$154))))</f>
        <v/>
      </c>
      <c r="G17" s="6" t="n"/>
    </row>
    <row r="18">
      <c r="A18" s="6" t="n"/>
      <c r="B18" s="6" t="n"/>
      <c r="C18" s="11">
        <f>IF(A18="","",COUNTIF(Courses!$D$5:$D$154,A18))</f>
        <v/>
      </c>
      <c r="D18" s="9">
        <f>IF(A18="","",SUMIF(Courses!$D$5:$D$154,A18,Courses!$L$5:$L$154))</f>
        <v/>
      </c>
      <c r="E18" s="9">
        <f>IF(OR(A18="",C18=0),"",D18/C18)</f>
        <v/>
      </c>
      <c r="F18" s="12">
        <f>IF(OR(A18="",C18=0),"",SUMPRODUCT(MAX((Courses!$D$5:$D$154=A18)*(Courses!$B$5:$B$154))))</f>
        <v/>
      </c>
      <c r="G18" s="6" t="n"/>
    </row>
    <row r="19">
      <c r="A19" s="6" t="n"/>
      <c r="B19" s="6" t="n"/>
      <c r="C19" s="11">
        <f>IF(A19="","",COUNTIF(Courses!$D$5:$D$154,A19))</f>
        <v/>
      </c>
      <c r="D19" s="9">
        <f>IF(A19="","",SUMIF(Courses!$D$5:$D$154,A19,Courses!$L$5:$L$154))</f>
        <v/>
      </c>
      <c r="E19" s="9">
        <f>IF(OR(A19="",C19=0),"",D19/C19)</f>
        <v/>
      </c>
      <c r="F19" s="12">
        <f>IF(OR(A19="",C19=0),"",SUMPRODUCT(MAX((Courses!$D$5:$D$154=A19)*(Courses!$B$5:$B$154))))</f>
        <v/>
      </c>
      <c r="G19" s="6" t="n"/>
    </row>
    <row r="20">
      <c r="A20" s="6" t="n"/>
      <c r="B20" s="6" t="n"/>
      <c r="C20" s="11">
        <f>IF(A20="","",COUNTIF(Courses!$D$5:$D$154,A20))</f>
        <v/>
      </c>
      <c r="D20" s="9">
        <f>IF(A20="","",SUMIF(Courses!$D$5:$D$154,A20,Courses!$L$5:$L$154))</f>
        <v/>
      </c>
      <c r="E20" s="9">
        <f>IF(OR(A20="",C20=0),"",D20/C20)</f>
        <v/>
      </c>
      <c r="F20" s="12">
        <f>IF(OR(A20="",C20=0),"",SUMPRODUCT(MAX((Courses!$D$5:$D$154=A20)*(Courses!$B$5:$B$154))))</f>
        <v/>
      </c>
      <c r="G20" s="6" t="n"/>
    </row>
    <row r="21">
      <c r="A21" s="6" t="n"/>
      <c r="B21" s="6" t="n"/>
      <c r="C21" s="11">
        <f>IF(A21="","",COUNTIF(Courses!$D$5:$D$154,A21))</f>
        <v/>
      </c>
      <c r="D21" s="9">
        <f>IF(A21="","",SUMIF(Courses!$D$5:$D$154,A21,Courses!$L$5:$L$154))</f>
        <v/>
      </c>
      <c r="E21" s="9">
        <f>IF(OR(A21="",C21=0),"",D21/C21)</f>
        <v/>
      </c>
      <c r="F21" s="12">
        <f>IF(OR(A21="",C21=0),"",SUMPRODUCT(MAX((Courses!$D$5:$D$154=A21)*(Courses!$B$5:$B$154))))</f>
        <v/>
      </c>
      <c r="G21" s="6" t="n"/>
    </row>
    <row r="22">
      <c r="A22" s="6" t="n"/>
      <c r="B22" s="6" t="n"/>
      <c r="C22" s="11">
        <f>IF(A22="","",COUNTIF(Courses!$D$5:$D$154,A22))</f>
        <v/>
      </c>
      <c r="D22" s="9">
        <f>IF(A22="","",SUMIF(Courses!$D$5:$D$154,A22,Courses!$L$5:$L$154))</f>
        <v/>
      </c>
      <c r="E22" s="9">
        <f>IF(OR(A22="",C22=0),"",D22/C22)</f>
        <v/>
      </c>
      <c r="F22" s="12">
        <f>IF(OR(A22="",C22=0),"",SUMPRODUCT(MAX((Courses!$D$5:$D$154=A22)*(Courses!$B$5:$B$154))))</f>
        <v/>
      </c>
      <c r="G22" s="6" t="n"/>
    </row>
    <row r="23">
      <c r="A23" s="6" t="n"/>
      <c r="B23" s="6" t="n"/>
      <c r="C23" s="11">
        <f>IF(A23="","",COUNTIF(Courses!$D$5:$D$154,A23))</f>
        <v/>
      </c>
      <c r="D23" s="9">
        <f>IF(A23="","",SUMIF(Courses!$D$5:$D$154,A23,Courses!$L$5:$L$154))</f>
        <v/>
      </c>
      <c r="E23" s="9">
        <f>IF(OR(A23="",C23=0),"",D23/C23)</f>
        <v/>
      </c>
      <c r="F23" s="12">
        <f>IF(OR(A23="",C23=0),"",SUMPRODUCT(MAX((Courses!$D$5:$D$154=A23)*(Courses!$B$5:$B$154))))</f>
        <v/>
      </c>
      <c r="G23" s="6" t="n"/>
    </row>
    <row r="24">
      <c r="A24" s="6" t="n"/>
      <c r="B24" s="6" t="n"/>
      <c r="C24" s="11">
        <f>IF(A24="","",COUNTIF(Courses!$D$5:$D$154,A24))</f>
        <v/>
      </c>
      <c r="D24" s="9">
        <f>IF(A24="","",SUMIF(Courses!$D$5:$D$154,A24,Courses!$L$5:$L$154))</f>
        <v/>
      </c>
      <c r="E24" s="9">
        <f>IF(OR(A24="",C24=0),"",D24/C24)</f>
        <v/>
      </c>
      <c r="F24" s="12">
        <f>IF(OR(A24="",C24=0),"",SUMPRODUCT(MAX((Courses!$D$5:$D$154=A24)*(Courses!$B$5:$B$154))))</f>
        <v/>
      </c>
      <c r="G24" s="6" t="n"/>
    </row>
    <row r="25">
      <c r="A25" s="6" t="n"/>
      <c r="B25" s="6" t="n"/>
      <c r="C25" s="11">
        <f>IF(A25="","",COUNTIF(Courses!$D$5:$D$154,A25))</f>
        <v/>
      </c>
      <c r="D25" s="9">
        <f>IF(A25="","",SUMIF(Courses!$D$5:$D$154,A25,Courses!$L$5:$L$154))</f>
        <v/>
      </c>
      <c r="E25" s="9">
        <f>IF(OR(A25="",C25=0),"",D25/C25)</f>
        <v/>
      </c>
      <c r="F25" s="12">
        <f>IF(OR(A25="",C25=0),"",SUMPRODUCT(MAX((Courses!$D$5:$D$154=A25)*(Courses!$B$5:$B$154))))</f>
        <v/>
      </c>
      <c r="G25" s="6" t="n"/>
    </row>
    <row r="26">
      <c r="A26" s="6" t="n"/>
      <c r="B26" s="6" t="n"/>
      <c r="C26" s="11">
        <f>IF(A26="","",COUNTIF(Courses!$D$5:$D$154,A26))</f>
        <v/>
      </c>
      <c r="D26" s="9">
        <f>IF(A26="","",SUMIF(Courses!$D$5:$D$154,A26,Courses!$L$5:$L$154))</f>
        <v/>
      </c>
      <c r="E26" s="9">
        <f>IF(OR(A26="",C26=0),"",D26/C26)</f>
        <v/>
      </c>
      <c r="F26" s="12">
        <f>IF(OR(A26="",C26=0),"",SUMPRODUCT(MAX((Courses!$D$5:$D$154=A26)*(Courses!$B$5:$B$154))))</f>
        <v/>
      </c>
      <c r="G26" s="6" t="n"/>
    </row>
    <row r="27">
      <c r="A27" s="6" t="n"/>
      <c r="B27" s="6" t="n"/>
      <c r="C27" s="11">
        <f>IF(A27="","",COUNTIF(Courses!$D$5:$D$154,A27))</f>
        <v/>
      </c>
      <c r="D27" s="9">
        <f>IF(A27="","",SUMIF(Courses!$D$5:$D$154,A27,Courses!$L$5:$L$154))</f>
        <v/>
      </c>
      <c r="E27" s="9">
        <f>IF(OR(A27="",C27=0),"",D27/C27)</f>
        <v/>
      </c>
      <c r="F27" s="12">
        <f>IF(OR(A27="",C27=0),"",SUMPRODUCT(MAX((Courses!$D$5:$D$154=A27)*(Courses!$B$5:$B$154))))</f>
        <v/>
      </c>
      <c r="G27" s="6" t="n"/>
    </row>
    <row r="28">
      <c r="A28" s="6" t="n"/>
      <c r="B28" s="6" t="n"/>
      <c r="C28" s="11">
        <f>IF(A28="","",COUNTIF(Courses!$D$5:$D$154,A28))</f>
        <v/>
      </c>
      <c r="D28" s="9">
        <f>IF(A28="","",SUMIF(Courses!$D$5:$D$154,A28,Courses!$L$5:$L$154))</f>
        <v/>
      </c>
      <c r="E28" s="9">
        <f>IF(OR(A28="",C28=0),"",D28/C28)</f>
        <v/>
      </c>
      <c r="F28" s="12">
        <f>IF(OR(A28="",C28=0),"",SUMPRODUCT(MAX((Courses!$D$5:$D$154=A28)*(Courses!$B$5:$B$154))))</f>
        <v/>
      </c>
      <c r="G28" s="6" t="n"/>
    </row>
    <row r="29">
      <c r="A29" s="6" t="n"/>
      <c r="B29" s="6" t="n"/>
      <c r="C29" s="11">
        <f>IF(A29="","",COUNTIF(Courses!$D$5:$D$154,A29))</f>
        <v/>
      </c>
      <c r="D29" s="9">
        <f>IF(A29="","",SUMIF(Courses!$D$5:$D$154,A29,Courses!$L$5:$L$154))</f>
        <v/>
      </c>
      <c r="E29" s="9">
        <f>IF(OR(A29="",C29=0),"",D29/C29)</f>
        <v/>
      </c>
      <c r="F29" s="12">
        <f>IF(OR(A29="",C29=0),"",SUMPRODUCT(MAX((Courses!$D$5:$D$154=A29)*(Courses!$B$5:$B$154))))</f>
        <v/>
      </c>
      <c r="G29" s="6" t="n"/>
    </row>
    <row r="30">
      <c r="A30" s="6" t="n"/>
      <c r="B30" s="6" t="n"/>
      <c r="C30" s="11">
        <f>IF(A30="","",COUNTIF(Courses!$D$5:$D$154,A30))</f>
        <v/>
      </c>
      <c r="D30" s="9">
        <f>IF(A30="","",SUMIF(Courses!$D$5:$D$154,A30,Courses!$L$5:$L$154))</f>
        <v/>
      </c>
      <c r="E30" s="9">
        <f>IF(OR(A30="",C30=0),"",D30/C30)</f>
        <v/>
      </c>
      <c r="F30" s="12">
        <f>IF(OR(A30="",C30=0),"",SUMPRODUCT(MAX((Courses!$D$5:$D$154=A30)*(Courses!$B$5:$B$154))))</f>
        <v/>
      </c>
      <c r="G30" s="6" t="n"/>
    </row>
    <row r="31">
      <c r="A31" s="6" t="n"/>
      <c r="B31" s="6" t="n"/>
      <c r="C31" s="11">
        <f>IF(A31="","",COUNTIF(Courses!$D$5:$D$154,A31))</f>
        <v/>
      </c>
      <c r="D31" s="9">
        <f>IF(A31="","",SUMIF(Courses!$D$5:$D$154,A31,Courses!$L$5:$L$154))</f>
        <v/>
      </c>
      <c r="E31" s="9">
        <f>IF(OR(A31="",C31=0),"",D31/C31)</f>
        <v/>
      </c>
      <c r="F31" s="12">
        <f>IF(OR(A31="",C31=0),"",SUMPRODUCT(MAX((Courses!$D$5:$D$154=A31)*(Courses!$B$5:$B$154))))</f>
        <v/>
      </c>
      <c r="G31" s="6" t="n"/>
    </row>
    <row r="32">
      <c r="A32" s="6" t="n"/>
      <c r="B32" s="6" t="n"/>
      <c r="C32" s="11">
        <f>IF(A32="","",COUNTIF(Courses!$D$5:$D$154,A32))</f>
        <v/>
      </c>
      <c r="D32" s="9">
        <f>IF(A32="","",SUMIF(Courses!$D$5:$D$154,A32,Courses!$L$5:$L$154))</f>
        <v/>
      </c>
      <c r="E32" s="9">
        <f>IF(OR(A32="",C32=0),"",D32/C32)</f>
        <v/>
      </c>
      <c r="F32" s="12">
        <f>IF(OR(A32="",C32=0),"",SUMPRODUCT(MAX((Courses!$D$5:$D$154=A32)*(Courses!$B$5:$B$154))))</f>
        <v/>
      </c>
      <c r="G32" s="6" t="n"/>
    </row>
    <row r="33">
      <c r="A33" s="6" t="n"/>
      <c r="B33" s="6" t="n"/>
      <c r="C33" s="11">
        <f>IF(A33="","",COUNTIF(Courses!$D$5:$D$154,A33))</f>
        <v/>
      </c>
      <c r="D33" s="9">
        <f>IF(A33="","",SUMIF(Courses!$D$5:$D$154,A33,Courses!$L$5:$L$154))</f>
        <v/>
      </c>
      <c r="E33" s="9">
        <f>IF(OR(A33="",C33=0),"",D33/C33)</f>
        <v/>
      </c>
      <c r="F33" s="12">
        <f>IF(OR(A33="",C33=0),"",SUMPRODUCT(MAX((Courses!$D$5:$D$154=A33)*(Courses!$B$5:$B$154))))</f>
        <v/>
      </c>
      <c r="G33" s="6" t="n"/>
    </row>
    <row r="34">
      <c r="A34" s="6" t="n"/>
      <c r="B34" s="6" t="n"/>
      <c r="C34" s="11">
        <f>IF(A34="","",COUNTIF(Courses!$D$5:$D$154,A34))</f>
        <v/>
      </c>
      <c r="D34" s="9">
        <f>IF(A34="","",SUMIF(Courses!$D$5:$D$154,A34,Courses!$L$5:$L$154))</f>
        <v/>
      </c>
      <c r="E34" s="9">
        <f>IF(OR(A34="",C34=0),"",D34/C34)</f>
        <v/>
      </c>
      <c r="F34" s="12">
        <f>IF(OR(A34="",C34=0),"",SUMPRODUCT(MAX((Courses!$D$5:$D$154=A34)*(Courses!$B$5:$B$154))))</f>
        <v/>
      </c>
      <c r="G34" s="6" t="n"/>
    </row>
    <row r="35">
      <c r="A35" s="6" t="n"/>
      <c r="B35" s="6" t="n"/>
      <c r="C35" s="11">
        <f>IF(A35="","",COUNTIF(Courses!$D$5:$D$154,A35))</f>
        <v/>
      </c>
      <c r="D35" s="9">
        <f>IF(A35="","",SUMIF(Courses!$D$5:$D$154,A35,Courses!$L$5:$L$154))</f>
        <v/>
      </c>
      <c r="E35" s="9">
        <f>IF(OR(A35="",C35=0),"",D35/C35)</f>
        <v/>
      </c>
      <c r="F35" s="12">
        <f>IF(OR(A35="",C35=0),"",SUMPRODUCT(MAX((Courses!$D$5:$D$154=A35)*(Courses!$B$5:$B$154))))</f>
        <v/>
      </c>
      <c r="G35" s="6" t="n"/>
    </row>
    <row r="36">
      <c r="A36" s="6" t="n"/>
      <c r="B36" s="6" t="n"/>
      <c r="C36" s="11">
        <f>IF(A36="","",COUNTIF(Courses!$D$5:$D$154,A36))</f>
        <v/>
      </c>
      <c r="D36" s="9">
        <f>IF(A36="","",SUMIF(Courses!$D$5:$D$154,A36,Courses!$L$5:$L$154))</f>
        <v/>
      </c>
      <c r="E36" s="9">
        <f>IF(OR(A36="",C36=0),"",D36/C36)</f>
        <v/>
      </c>
      <c r="F36" s="12">
        <f>IF(OR(A36="",C36=0),"",SUMPRODUCT(MAX((Courses!$D$5:$D$154=A36)*(Courses!$B$5:$B$154))))</f>
        <v/>
      </c>
      <c r="G36" s="6" t="n"/>
    </row>
    <row r="37">
      <c r="A37" s="6" t="n"/>
      <c r="B37" s="6" t="n"/>
      <c r="C37" s="11">
        <f>IF(A37="","",COUNTIF(Courses!$D$5:$D$154,A37))</f>
        <v/>
      </c>
      <c r="D37" s="9">
        <f>IF(A37="","",SUMIF(Courses!$D$5:$D$154,A37,Courses!$L$5:$L$154))</f>
        <v/>
      </c>
      <c r="E37" s="9">
        <f>IF(OR(A37="",C37=0),"",D37/C37)</f>
        <v/>
      </c>
      <c r="F37" s="12">
        <f>IF(OR(A37="",C37=0),"",SUMPRODUCT(MAX((Courses!$D$5:$D$154=A37)*(Courses!$B$5:$B$154))))</f>
        <v/>
      </c>
      <c r="G37" s="6" t="n"/>
    </row>
    <row r="38">
      <c r="A38" s="6" t="n"/>
      <c r="B38" s="6" t="n"/>
      <c r="C38" s="11">
        <f>IF(A38="","",COUNTIF(Courses!$D$5:$D$154,A38))</f>
        <v/>
      </c>
      <c r="D38" s="9">
        <f>IF(A38="","",SUMIF(Courses!$D$5:$D$154,A38,Courses!$L$5:$L$154))</f>
        <v/>
      </c>
      <c r="E38" s="9">
        <f>IF(OR(A38="",C38=0),"",D38/C38)</f>
        <v/>
      </c>
      <c r="F38" s="12">
        <f>IF(OR(A38="",C38=0),"",SUMPRODUCT(MAX((Courses!$D$5:$D$154=A38)*(Courses!$B$5:$B$154))))</f>
        <v/>
      </c>
      <c r="G38" s="6" t="n"/>
    </row>
    <row r="39">
      <c r="A39" s="6" t="n"/>
      <c r="B39" s="6" t="n"/>
      <c r="C39" s="11">
        <f>IF(A39="","",COUNTIF(Courses!$D$5:$D$154,A39))</f>
        <v/>
      </c>
      <c r="D39" s="9">
        <f>IF(A39="","",SUMIF(Courses!$D$5:$D$154,A39,Courses!$L$5:$L$154))</f>
        <v/>
      </c>
      <c r="E39" s="9">
        <f>IF(OR(A39="",C39=0),"",D39/C39)</f>
        <v/>
      </c>
      <c r="F39" s="12">
        <f>IF(OR(A39="",C39=0),"",SUMPRODUCT(MAX((Courses!$D$5:$D$154=A39)*(Courses!$B$5:$B$154))))</f>
        <v/>
      </c>
      <c r="G39" s="6" t="n"/>
    </row>
    <row r="40">
      <c r="A40" s="6" t="n"/>
      <c r="B40" s="6" t="n"/>
      <c r="C40" s="11">
        <f>IF(A40="","",COUNTIF(Courses!$D$5:$D$154,A40))</f>
        <v/>
      </c>
      <c r="D40" s="9">
        <f>IF(A40="","",SUMIF(Courses!$D$5:$D$154,A40,Courses!$L$5:$L$154))</f>
        <v/>
      </c>
      <c r="E40" s="9">
        <f>IF(OR(A40="",C40=0),"",D40/C40)</f>
        <v/>
      </c>
      <c r="F40" s="12">
        <f>IF(OR(A40="",C40=0),"",SUMPRODUCT(MAX((Courses!$D$5:$D$154=A40)*(Courses!$B$5:$B$154))))</f>
        <v/>
      </c>
      <c r="G40" s="6" t="n"/>
    </row>
    <row r="41">
      <c r="A41" s="6" t="n"/>
      <c r="B41" s="6" t="n"/>
      <c r="C41" s="11">
        <f>IF(A41="","",COUNTIF(Courses!$D$5:$D$154,A41))</f>
        <v/>
      </c>
      <c r="D41" s="9">
        <f>IF(A41="","",SUMIF(Courses!$D$5:$D$154,A41,Courses!$L$5:$L$154))</f>
        <v/>
      </c>
      <c r="E41" s="9">
        <f>IF(OR(A41="",C41=0),"",D41/C41)</f>
        <v/>
      </c>
      <c r="F41" s="12">
        <f>IF(OR(A41="",C41=0),"",SUMPRODUCT(MAX((Courses!$D$5:$D$154=A41)*(Courses!$B$5:$B$154))))</f>
        <v/>
      </c>
      <c r="G41" s="6" t="n"/>
    </row>
    <row r="42">
      <c r="A42" s="6" t="n"/>
      <c r="B42" s="6" t="n"/>
      <c r="C42" s="11">
        <f>IF(A42="","",COUNTIF(Courses!$D$5:$D$154,A42))</f>
        <v/>
      </c>
      <c r="D42" s="9">
        <f>IF(A42="","",SUMIF(Courses!$D$5:$D$154,A42,Courses!$L$5:$L$154))</f>
        <v/>
      </c>
      <c r="E42" s="9">
        <f>IF(OR(A42="",C42=0),"",D42/C42)</f>
        <v/>
      </c>
      <c r="F42" s="12">
        <f>IF(OR(A42="",C42=0),"",SUMPRODUCT(MAX((Courses!$D$5:$D$154=A42)*(Courses!$B$5:$B$154))))</f>
        <v/>
      </c>
      <c r="G42" s="6" t="n"/>
    </row>
    <row r="43">
      <c r="A43" s="6" t="n"/>
      <c r="B43" s="6" t="n"/>
      <c r="C43" s="11">
        <f>IF(A43="","",COUNTIF(Courses!$D$5:$D$154,A43))</f>
        <v/>
      </c>
      <c r="D43" s="9">
        <f>IF(A43="","",SUMIF(Courses!$D$5:$D$154,A43,Courses!$L$5:$L$154))</f>
        <v/>
      </c>
      <c r="E43" s="9">
        <f>IF(OR(A43="",C43=0),"",D43/C43)</f>
        <v/>
      </c>
      <c r="F43" s="12">
        <f>IF(OR(A43="",C43=0),"",SUMPRODUCT(MAX((Courses!$D$5:$D$154=A43)*(Courses!$B$5:$B$154))))</f>
        <v/>
      </c>
      <c r="G43" s="6" t="n"/>
    </row>
    <row r="44">
      <c r="A44" s="6" t="n"/>
      <c r="B44" s="6" t="n"/>
      <c r="C44" s="11">
        <f>IF(A44="","",COUNTIF(Courses!$D$5:$D$154,A44))</f>
        <v/>
      </c>
      <c r="D44" s="9">
        <f>IF(A44="","",SUMIF(Courses!$D$5:$D$154,A44,Courses!$L$5:$L$154))</f>
        <v/>
      </c>
      <c r="E44" s="9">
        <f>IF(OR(A44="",C44=0),"",D44/C44)</f>
        <v/>
      </c>
      <c r="F44" s="12">
        <f>IF(OR(A44="",C44=0),"",SUMPRODUCT(MAX((Courses!$D$5:$D$154=A44)*(Courses!$B$5:$B$154))))</f>
        <v/>
      </c>
      <c r="G44" s="6" t="n"/>
    </row>
    <row r="45">
      <c r="A45" s="6" t="n"/>
      <c r="B45" s="6" t="n"/>
      <c r="C45" s="11">
        <f>IF(A45="","",COUNTIF(Courses!$D$5:$D$154,A45))</f>
        <v/>
      </c>
      <c r="D45" s="9">
        <f>IF(A45="","",SUMIF(Courses!$D$5:$D$154,A45,Courses!$L$5:$L$154))</f>
        <v/>
      </c>
      <c r="E45" s="9">
        <f>IF(OR(A45="",C45=0),"",D45/C45)</f>
        <v/>
      </c>
      <c r="F45" s="12">
        <f>IF(OR(A45="",C45=0),"",SUMPRODUCT(MAX((Courses!$D$5:$D$154=A45)*(Courses!$B$5:$B$154))))</f>
        <v/>
      </c>
      <c r="G45" s="6" t="n"/>
    </row>
    <row r="46">
      <c r="A46" s="6" t="n"/>
      <c r="B46" s="6" t="n"/>
      <c r="C46" s="11">
        <f>IF(A46="","",COUNTIF(Courses!$D$5:$D$154,A46))</f>
        <v/>
      </c>
      <c r="D46" s="9">
        <f>IF(A46="","",SUMIF(Courses!$D$5:$D$154,A46,Courses!$L$5:$L$154))</f>
        <v/>
      </c>
      <c r="E46" s="9">
        <f>IF(OR(A46="",C46=0),"",D46/C46)</f>
        <v/>
      </c>
      <c r="F46" s="12">
        <f>IF(OR(A46="",C46=0),"",SUMPRODUCT(MAX((Courses!$D$5:$D$154=A46)*(Courses!$B$5:$B$154))))</f>
        <v/>
      </c>
      <c r="G46" s="6" t="n"/>
    </row>
    <row r="47">
      <c r="A47" s="6" t="n"/>
      <c r="B47" s="6" t="n"/>
      <c r="C47" s="11">
        <f>IF(A47="","",COUNTIF(Courses!$D$5:$D$154,A47))</f>
        <v/>
      </c>
      <c r="D47" s="9">
        <f>IF(A47="","",SUMIF(Courses!$D$5:$D$154,A47,Courses!$L$5:$L$154))</f>
        <v/>
      </c>
      <c r="E47" s="9">
        <f>IF(OR(A47="",C47=0),"",D47/C47)</f>
        <v/>
      </c>
      <c r="F47" s="12">
        <f>IF(OR(A47="",C47=0),"",SUMPRODUCT(MAX((Courses!$D$5:$D$154=A47)*(Courses!$B$5:$B$154))))</f>
        <v/>
      </c>
      <c r="G47" s="6" t="n"/>
    </row>
    <row r="48">
      <c r="A48" s="6" t="n"/>
      <c r="B48" s="6" t="n"/>
      <c r="C48" s="11">
        <f>IF(A48="","",COUNTIF(Courses!$D$5:$D$154,A48))</f>
        <v/>
      </c>
      <c r="D48" s="9">
        <f>IF(A48="","",SUMIF(Courses!$D$5:$D$154,A48,Courses!$L$5:$L$154))</f>
        <v/>
      </c>
      <c r="E48" s="9">
        <f>IF(OR(A48="",C48=0),"",D48/C48)</f>
        <v/>
      </c>
      <c r="F48" s="12">
        <f>IF(OR(A48="",C48=0),"",SUMPRODUCT(MAX((Courses!$D$5:$D$154=A48)*(Courses!$B$5:$B$154))))</f>
        <v/>
      </c>
      <c r="G48" s="6" t="n"/>
    </row>
    <row r="49">
      <c r="A49" s="6" t="n"/>
      <c r="B49" s="6" t="n"/>
      <c r="C49" s="11">
        <f>IF(A49="","",COUNTIF(Courses!$D$5:$D$154,A49))</f>
        <v/>
      </c>
      <c r="D49" s="9">
        <f>IF(A49="","",SUMIF(Courses!$D$5:$D$154,A49,Courses!$L$5:$L$154))</f>
        <v/>
      </c>
      <c r="E49" s="9">
        <f>IF(OR(A49="",C49=0),"",D49/C49)</f>
        <v/>
      </c>
      <c r="F49" s="12">
        <f>IF(OR(A49="",C49=0),"",SUMPRODUCT(MAX((Courses!$D$5:$D$154=A49)*(Courses!$B$5:$B$154))))</f>
        <v/>
      </c>
      <c r="G49" s="6" t="n"/>
    </row>
    <row r="50">
      <c r="A50" s="6" t="n"/>
      <c r="B50" s="6" t="n"/>
      <c r="C50" s="11">
        <f>IF(A50="","",COUNTIF(Courses!$D$5:$D$154,A50))</f>
        <v/>
      </c>
      <c r="D50" s="9">
        <f>IF(A50="","",SUMIF(Courses!$D$5:$D$154,A50,Courses!$L$5:$L$154))</f>
        <v/>
      </c>
      <c r="E50" s="9">
        <f>IF(OR(A50="",C50=0),"",D50/C50)</f>
        <v/>
      </c>
      <c r="F50" s="12">
        <f>IF(OR(A50="",C50=0),"",SUMPRODUCT(MAX((Courses!$D$5:$D$154=A50)*(Courses!$B$5:$B$154))))</f>
        <v/>
      </c>
      <c r="G50" s="6" t="n"/>
    </row>
    <row r="51">
      <c r="A51" s="6" t="n"/>
      <c r="B51" s="6" t="n"/>
      <c r="C51" s="11">
        <f>IF(A51="","",COUNTIF(Courses!$D$5:$D$154,A51))</f>
        <v/>
      </c>
      <c r="D51" s="9">
        <f>IF(A51="","",SUMIF(Courses!$D$5:$D$154,A51,Courses!$L$5:$L$154))</f>
        <v/>
      </c>
      <c r="E51" s="9">
        <f>IF(OR(A51="",C51=0),"",D51/C51)</f>
        <v/>
      </c>
      <c r="F51" s="12">
        <f>IF(OR(A51="",C51=0),"",SUMPRODUCT(MAX((Courses!$D$5:$D$154=A51)*(Courses!$B$5:$B$154))))</f>
        <v/>
      </c>
      <c r="G51" s="6" t="n"/>
    </row>
    <row r="52">
      <c r="A52" s="6" t="n"/>
      <c r="B52" s="6" t="n"/>
      <c r="C52" s="11">
        <f>IF(A52="","",COUNTIF(Courses!$D$5:$D$154,A52))</f>
        <v/>
      </c>
      <c r="D52" s="9">
        <f>IF(A52="","",SUMIF(Courses!$D$5:$D$154,A52,Courses!$L$5:$L$154))</f>
        <v/>
      </c>
      <c r="E52" s="9">
        <f>IF(OR(A52="",C52=0),"",D52/C52)</f>
        <v/>
      </c>
      <c r="F52" s="12">
        <f>IF(OR(A52="",C52=0),"",SUMPRODUCT(MAX((Courses!$D$5:$D$154=A52)*(Courses!$B$5:$B$154))))</f>
        <v/>
      </c>
      <c r="G52" s="6" t="n"/>
    </row>
    <row r="53">
      <c r="A53" s="6" t="n"/>
      <c r="B53" s="6" t="n"/>
      <c r="C53" s="11">
        <f>IF(A53="","",COUNTIF(Courses!$D$5:$D$154,A53))</f>
        <v/>
      </c>
      <c r="D53" s="9">
        <f>IF(A53="","",SUMIF(Courses!$D$5:$D$154,A53,Courses!$L$5:$L$154))</f>
        <v/>
      </c>
      <c r="E53" s="9">
        <f>IF(OR(A53="",C53=0),"",D53/C53)</f>
        <v/>
      </c>
      <c r="F53" s="12">
        <f>IF(OR(A53="",C53=0),"",SUMPRODUCT(MAX((Courses!$D$5:$D$154=A53)*(Courses!$B$5:$B$154))))</f>
        <v/>
      </c>
      <c r="G53" s="6" t="n"/>
    </row>
    <row r="54">
      <c r="A54" s="6" t="n"/>
      <c r="B54" s="6" t="n"/>
      <c r="C54" s="11">
        <f>IF(A54="","",COUNTIF(Courses!$D$5:$D$154,A54))</f>
        <v/>
      </c>
      <c r="D54" s="9">
        <f>IF(A54="","",SUMIF(Courses!$D$5:$D$154,A54,Courses!$L$5:$L$154))</f>
        <v/>
      </c>
      <c r="E54" s="9">
        <f>IF(OR(A54="",C54=0),"",D54/C54)</f>
        <v/>
      </c>
      <c r="F54" s="12">
        <f>IF(OR(A54="",C54=0),"",SUMPRODUCT(MAX((Courses!$D$5:$D$154=A54)*(Courses!$B$5:$B$154))))</f>
        <v/>
      </c>
      <c r="G54" s="6" t="n"/>
    </row>
    <row r="55">
      <c r="A55" s="6" t="n"/>
      <c r="B55" s="6" t="n"/>
      <c r="C55" s="11">
        <f>IF(A55="","",COUNTIF(Courses!$D$5:$D$154,A55))</f>
        <v/>
      </c>
      <c r="D55" s="9">
        <f>IF(A55="","",SUMIF(Courses!$D$5:$D$154,A55,Courses!$L$5:$L$154))</f>
        <v/>
      </c>
      <c r="E55" s="9">
        <f>IF(OR(A55="",C55=0),"",D55/C55)</f>
        <v/>
      </c>
      <c r="F55" s="12">
        <f>IF(OR(A55="",C55=0),"",SUMPRODUCT(MAX((Courses!$D$5:$D$154=A55)*(Courses!$B$5:$B$154))))</f>
        <v/>
      </c>
      <c r="G55" s="6" t="n"/>
    </row>
    <row r="56">
      <c r="A56" s="6" t="n"/>
      <c r="B56" s="6" t="n"/>
      <c r="C56" s="11">
        <f>IF(A56="","",COUNTIF(Courses!$D$5:$D$154,A56))</f>
        <v/>
      </c>
      <c r="D56" s="9">
        <f>IF(A56="","",SUMIF(Courses!$D$5:$D$154,A56,Courses!$L$5:$L$154))</f>
        <v/>
      </c>
      <c r="E56" s="9">
        <f>IF(OR(A56="",C56=0),"",D56/C56)</f>
        <v/>
      </c>
      <c r="F56" s="12">
        <f>IF(OR(A56="",C56=0),"",SUMPRODUCT(MAX((Courses!$D$5:$D$154=A56)*(Courses!$B$5:$B$154))))</f>
        <v/>
      </c>
      <c r="G56" s="6" t="n"/>
    </row>
    <row r="57">
      <c r="A57" s="6" t="n"/>
      <c r="B57" s="6" t="n"/>
      <c r="C57" s="11">
        <f>IF(A57="","",COUNTIF(Courses!$D$5:$D$154,A57))</f>
        <v/>
      </c>
      <c r="D57" s="9">
        <f>IF(A57="","",SUMIF(Courses!$D$5:$D$154,A57,Courses!$L$5:$L$154))</f>
        <v/>
      </c>
      <c r="E57" s="9">
        <f>IF(OR(A57="",C57=0),"",D57/C57)</f>
        <v/>
      </c>
      <c r="F57" s="12">
        <f>IF(OR(A57="",C57=0),"",SUMPRODUCT(MAX((Courses!$D$5:$D$154=A57)*(Courses!$B$5:$B$154))))</f>
        <v/>
      </c>
      <c r="G57" s="6" t="n"/>
    </row>
    <row r="58">
      <c r="A58" s="6" t="n"/>
      <c r="B58" s="6" t="n"/>
      <c r="C58" s="11">
        <f>IF(A58="","",COUNTIF(Courses!$D$5:$D$154,A58))</f>
        <v/>
      </c>
      <c r="D58" s="9">
        <f>IF(A58="","",SUMIF(Courses!$D$5:$D$154,A58,Courses!$L$5:$L$154))</f>
        <v/>
      </c>
      <c r="E58" s="9">
        <f>IF(OR(A58="",C58=0),"",D58/C58)</f>
        <v/>
      </c>
      <c r="F58" s="12">
        <f>IF(OR(A58="",C58=0),"",SUMPRODUCT(MAX((Courses!$D$5:$D$154=A58)*(Courses!$B$5:$B$154))))</f>
        <v/>
      </c>
      <c r="G58" s="6" t="n"/>
    </row>
    <row r="59">
      <c r="A59" s="6" t="n"/>
      <c r="B59" s="6" t="n"/>
      <c r="C59" s="11">
        <f>IF(A59="","",COUNTIF(Courses!$D$5:$D$154,A59))</f>
        <v/>
      </c>
      <c r="D59" s="9">
        <f>IF(A59="","",SUMIF(Courses!$D$5:$D$154,A59,Courses!$L$5:$L$154))</f>
        <v/>
      </c>
      <c r="E59" s="9">
        <f>IF(OR(A59="",C59=0),"",D59/C59)</f>
        <v/>
      </c>
      <c r="F59" s="12">
        <f>IF(OR(A59="",C59=0),"",SUMPRODUCT(MAX((Courses!$D$5:$D$154=A59)*(Courses!$B$5:$B$154))))</f>
        <v/>
      </c>
      <c r="G59" s="6" t="n"/>
    </row>
    <row r="60">
      <c r="A60" s="6" t="n"/>
      <c r="B60" s="6" t="n"/>
      <c r="C60" s="11">
        <f>IF(A60="","",COUNTIF(Courses!$D$5:$D$154,A60))</f>
        <v/>
      </c>
      <c r="D60" s="9">
        <f>IF(A60="","",SUMIF(Courses!$D$5:$D$154,A60,Courses!$L$5:$L$154))</f>
        <v/>
      </c>
      <c r="E60" s="9">
        <f>IF(OR(A60="",C60=0),"",D60/C60)</f>
        <v/>
      </c>
      <c r="F60" s="12">
        <f>IF(OR(A60="",C60=0),"",SUMPRODUCT(MAX((Courses!$D$5:$D$154=A60)*(Courses!$B$5:$B$154))))</f>
        <v/>
      </c>
      <c r="G60" s="6" t="n"/>
    </row>
    <row r="61">
      <c r="A61" s="6" t="n"/>
      <c r="B61" s="6" t="n"/>
      <c r="C61" s="11">
        <f>IF(A61="","",COUNTIF(Courses!$D$5:$D$154,A61))</f>
        <v/>
      </c>
      <c r="D61" s="9">
        <f>IF(A61="","",SUMIF(Courses!$D$5:$D$154,A61,Courses!$L$5:$L$154))</f>
        <v/>
      </c>
      <c r="E61" s="9">
        <f>IF(OR(A61="",C61=0),"",D61/C61)</f>
        <v/>
      </c>
      <c r="F61" s="12">
        <f>IF(OR(A61="",C61=0),"",SUMPRODUCT(MAX((Courses!$D$5:$D$154=A61)*(Courses!$B$5:$B$154))))</f>
        <v/>
      </c>
      <c r="G61" s="6" t="n"/>
    </row>
    <row r="62">
      <c r="A62" s="6" t="n"/>
      <c r="B62" s="6" t="n"/>
      <c r="C62" s="11">
        <f>IF(A62="","",COUNTIF(Courses!$D$5:$D$154,A62))</f>
        <v/>
      </c>
      <c r="D62" s="9">
        <f>IF(A62="","",SUMIF(Courses!$D$5:$D$154,A62,Courses!$L$5:$L$154))</f>
        <v/>
      </c>
      <c r="E62" s="9">
        <f>IF(OR(A62="",C62=0),"",D62/C62)</f>
        <v/>
      </c>
      <c r="F62" s="12">
        <f>IF(OR(A62="",C62=0),"",SUMPRODUCT(MAX((Courses!$D$5:$D$154=A62)*(Courses!$B$5:$B$154))))</f>
        <v/>
      </c>
      <c r="G62" s="6" t="n"/>
    </row>
    <row r="63">
      <c r="A63" s="6" t="n"/>
      <c r="B63" s="6" t="n"/>
      <c r="C63" s="11">
        <f>IF(A63="","",COUNTIF(Courses!$D$5:$D$154,A63))</f>
        <v/>
      </c>
      <c r="D63" s="9">
        <f>IF(A63="","",SUMIF(Courses!$D$5:$D$154,A63,Courses!$L$5:$L$154))</f>
        <v/>
      </c>
      <c r="E63" s="9">
        <f>IF(OR(A63="",C63=0),"",D63/C63)</f>
        <v/>
      </c>
      <c r="F63" s="12">
        <f>IF(OR(A63="",C63=0),"",SUMPRODUCT(MAX((Courses!$D$5:$D$154=A63)*(Courses!$B$5:$B$154))))</f>
        <v/>
      </c>
      <c r="G63" s="6" t="n"/>
    </row>
    <row r="64">
      <c r="A64" s="6" t="n"/>
      <c r="B64" s="6" t="n"/>
      <c r="C64" s="11">
        <f>IF(A64="","",COUNTIF(Courses!$D$5:$D$154,A64))</f>
        <v/>
      </c>
      <c r="D64" s="9">
        <f>IF(A64="","",SUMIF(Courses!$D$5:$D$154,A64,Courses!$L$5:$L$154))</f>
        <v/>
      </c>
      <c r="E64" s="9">
        <f>IF(OR(A64="",C64=0),"",D64/C64)</f>
        <v/>
      </c>
      <c r="F64" s="12">
        <f>IF(OR(A64="",C64=0),"",SUMPRODUCT(MAX((Courses!$D$5:$D$154=A64)*(Courses!$B$5:$B$154))))</f>
        <v/>
      </c>
      <c r="G6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4" customWidth="1" min="4" max="4"/>
    <col width="13" customWidth="1" min="5" max="5"/>
    <col width="14" customWidth="1" min="6" max="6"/>
    <col width="13" customWidth="1" min="7" max="7"/>
    <col width="17" customWidth="1" min="8" max="8"/>
  </cols>
  <sheetData>
    <row r="1">
      <c r="A1" s="1" t="inlineStr">
        <is>
          <t>Chiffre d'affaires par mois</t>
        </is>
      </c>
    </row>
    <row r="2">
      <c r="A2" s="4" t="inlineStr">
        <is>
          <t>Tout se calcule depuis l'onglet Courses. Aucune saisie ici.</t>
        </is>
      </c>
    </row>
    <row r="4">
      <c r="A4" s="13" t="inlineStr">
        <is>
          <t>Année</t>
        </is>
      </c>
      <c r="B4" s="14" t="n">
        <v>2026</v>
      </c>
      <c r="C4" s="4" t="inlineStr">
        <is>
          <t>← année étudiée, modifiable</t>
        </is>
      </c>
    </row>
    <row r="6" ht="28" customHeight="1">
      <c r="A6" s="5" t="inlineStr">
        <is>
          <t>Mois</t>
        </is>
      </c>
      <c r="B6" s="5" t="inlineStr">
        <is>
          <t>Courses</t>
        </is>
      </c>
      <c r="C6" s="5" t="inlineStr">
        <is>
          <t>CA TTC</t>
        </is>
      </c>
      <c r="D6" s="5" t="inlineStr">
        <is>
          <t>CA HT</t>
        </is>
      </c>
      <c r="E6" s="5" t="inlineStr">
        <is>
          <t>TVA due</t>
        </is>
      </c>
      <c r="F6" s="5" t="inlineStr">
        <is>
          <t>Panier moyen</t>
        </is>
      </c>
      <c r="G6" s="5" t="inlineStr">
        <is>
          <t>Encaissé</t>
        </is>
      </c>
      <c r="H6" s="5" t="inlineStr">
        <is>
          <t>Reste à encaisser</t>
        </is>
      </c>
    </row>
    <row r="7">
      <c r="A7" s="15" t="inlineStr">
        <is>
          <t>Janvier</t>
        </is>
      </c>
      <c r="B7" s="16">
        <f>SUMPRODUCT((YEAR(Courses!$B$5:$B$154)=$B$4)*(MONTH(Courses!$B$5:$B$154)=1)*(Courses!$O$5:$O$154&lt;&gt;"Annulée")*(Courses!$B$5:$B$154&lt;&gt;"")*1)</f>
        <v/>
      </c>
      <c r="C7" s="9">
        <f>SUMPRODUCT((YEAR(Courses!$B$5:$B$154)=$B$4)*(MONTH(Courses!$B$5:$B$154)=1)*(Courses!$O$5:$O$154&lt;&gt;"Annulée")*(Courses!$B$5:$B$154&lt;&gt;"")*Courses!$L$5:$L$154)</f>
        <v/>
      </c>
      <c r="D7" s="9">
        <f>C7/1.1</f>
        <v/>
      </c>
      <c r="E7" s="9">
        <f>C7-D7</f>
        <v/>
      </c>
      <c r="F7" s="9">
        <f>IF(B7=0,0,C7/B7)</f>
        <v/>
      </c>
      <c r="G7" s="9">
        <f>SUMPRODUCT((YEAR(Courses!$B$5:$B$154)=$B$4)*(MONTH(Courses!$B$5:$B$154)=1)*(Courses!$O$5:$O$154&lt;&gt;"Annulée")*(Courses!$B$5:$B$154&lt;&gt;"")*(Courses!$P$5:$P$154="Oui")*Courses!$L$5:$L$154)</f>
        <v/>
      </c>
      <c r="H7" s="9">
        <f>C7-G7</f>
        <v/>
      </c>
    </row>
    <row r="8">
      <c r="A8" s="15" t="inlineStr">
        <is>
          <t>Février</t>
        </is>
      </c>
      <c r="B8" s="16">
        <f>SUMPRODUCT((YEAR(Courses!$B$5:$B$154)=$B$4)*(MONTH(Courses!$B$5:$B$154)=2)*(Courses!$O$5:$O$154&lt;&gt;"Annulée")*(Courses!$B$5:$B$154&lt;&gt;"")*1)</f>
        <v/>
      </c>
      <c r="C8" s="9">
        <f>SUMPRODUCT((YEAR(Courses!$B$5:$B$154)=$B$4)*(MONTH(Courses!$B$5:$B$154)=2)*(Courses!$O$5:$O$154&lt;&gt;"Annulée")*(Courses!$B$5:$B$154&lt;&gt;"")*Courses!$L$5:$L$154)</f>
        <v/>
      </c>
      <c r="D8" s="9">
        <f>C8/1.1</f>
        <v/>
      </c>
      <c r="E8" s="9">
        <f>C8-D8</f>
        <v/>
      </c>
      <c r="F8" s="9">
        <f>IF(B8=0,0,C8/B8)</f>
        <v/>
      </c>
      <c r="G8" s="9">
        <f>SUMPRODUCT((YEAR(Courses!$B$5:$B$154)=$B$4)*(MONTH(Courses!$B$5:$B$154)=2)*(Courses!$O$5:$O$154&lt;&gt;"Annulée")*(Courses!$B$5:$B$154&lt;&gt;"")*(Courses!$P$5:$P$154="Oui")*Courses!$L$5:$L$154)</f>
        <v/>
      </c>
      <c r="H8" s="9">
        <f>C8-G8</f>
        <v/>
      </c>
    </row>
    <row r="9">
      <c r="A9" s="15" t="inlineStr">
        <is>
          <t>Mars</t>
        </is>
      </c>
      <c r="B9" s="16">
        <f>SUMPRODUCT((YEAR(Courses!$B$5:$B$154)=$B$4)*(MONTH(Courses!$B$5:$B$154)=3)*(Courses!$O$5:$O$154&lt;&gt;"Annulée")*(Courses!$B$5:$B$154&lt;&gt;"")*1)</f>
        <v/>
      </c>
      <c r="C9" s="9">
        <f>SUMPRODUCT((YEAR(Courses!$B$5:$B$154)=$B$4)*(MONTH(Courses!$B$5:$B$154)=3)*(Courses!$O$5:$O$154&lt;&gt;"Annulée")*(Courses!$B$5:$B$154&lt;&gt;"")*Courses!$L$5:$L$154)</f>
        <v/>
      </c>
      <c r="D9" s="9">
        <f>C9/1.1</f>
        <v/>
      </c>
      <c r="E9" s="9">
        <f>C9-D9</f>
        <v/>
      </c>
      <c r="F9" s="9">
        <f>IF(B9=0,0,C9/B9)</f>
        <v/>
      </c>
      <c r="G9" s="9">
        <f>SUMPRODUCT((YEAR(Courses!$B$5:$B$154)=$B$4)*(MONTH(Courses!$B$5:$B$154)=3)*(Courses!$O$5:$O$154&lt;&gt;"Annulée")*(Courses!$B$5:$B$154&lt;&gt;"")*(Courses!$P$5:$P$154="Oui")*Courses!$L$5:$L$154)</f>
        <v/>
      </c>
      <c r="H9" s="9">
        <f>C9-G9</f>
        <v/>
      </c>
    </row>
    <row r="10">
      <c r="A10" s="15" t="inlineStr">
        <is>
          <t>Avril</t>
        </is>
      </c>
      <c r="B10" s="16">
        <f>SUMPRODUCT((YEAR(Courses!$B$5:$B$154)=$B$4)*(MONTH(Courses!$B$5:$B$154)=4)*(Courses!$O$5:$O$154&lt;&gt;"Annulée")*(Courses!$B$5:$B$154&lt;&gt;"")*1)</f>
        <v/>
      </c>
      <c r="C10" s="9">
        <f>SUMPRODUCT((YEAR(Courses!$B$5:$B$154)=$B$4)*(MONTH(Courses!$B$5:$B$154)=4)*(Courses!$O$5:$O$154&lt;&gt;"Annulée")*(Courses!$B$5:$B$154&lt;&gt;"")*Courses!$L$5:$L$154)</f>
        <v/>
      </c>
      <c r="D10" s="9">
        <f>C10/1.1</f>
        <v/>
      </c>
      <c r="E10" s="9">
        <f>C10-D10</f>
        <v/>
      </c>
      <c r="F10" s="9">
        <f>IF(B10=0,0,C10/B10)</f>
        <v/>
      </c>
      <c r="G10" s="9">
        <f>SUMPRODUCT((YEAR(Courses!$B$5:$B$154)=$B$4)*(MONTH(Courses!$B$5:$B$154)=4)*(Courses!$O$5:$O$154&lt;&gt;"Annulée")*(Courses!$B$5:$B$154&lt;&gt;"")*(Courses!$P$5:$P$154="Oui")*Courses!$L$5:$L$154)</f>
        <v/>
      </c>
      <c r="H10" s="9">
        <f>C10-G10</f>
        <v/>
      </c>
    </row>
    <row r="11">
      <c r="A11" s="15" t="inlineStr">
        <is>
          <t>Mai</t>
        </is>
      </c>
      <c r="B11" s="16">
        <f>SUMPRODUCT((YEAR(Courses!$B$5:$B$154)=$B$4)*(MONTH(Courses!$B$5:$B$154)=5)*(Courses!$O$5:$O$154&lt;&gt;"Annulée")*(Courses!$B$5:$B$154&lt;&gt;"")*1)</f>
        <v/>
      </c>
      <c r="C11" s="9">
        <f>SUMPRODUCT((YEAR(Courses!$B$5:$B$154)=$B$4)*(MONTH(Courses!$B$5:$B$154)=5)*(Courses!$O$5:$O$154&lt;&gt;"Annulée")*(Courses!$B$5:$B$154&lt;&gt;"")*Courses!$L$5:$L$154)</f>
        <v/>
      </c>
      <c r="D11" s="9">
        <f>C11/1.1</f>
        <v/>
      </c>
      <c r="E11" s="9">
        <f>C11-D11</f>
        <v/>
      </c>
      <c r="F11" s="9">
        <f>IF(B11=0,0,C11/B11)</f>
        <v/>
      </c>
      <c r="G11" s="9">
        <f>SUMPRODUCT((YEAR(Courses!$B$5:$B$154)=$B$4)*(MONTH(Courses!$B$5:$B$154)=5)*(Courses!$O$5:$O$154&lt;&gt;"Annulée")*(Courses!$B$5:$B$154&lt;&gt;"")*(Courses!$P$5:$P$154="Oui")*Courses!$L$5:$L$154)</f>
        <v/>
      </c>
      <c r="H11" s="9">
        <f>C11-G11</f>
        <v/>
      </c>
    </row>
    <row r="12">
      <c r="A12" s="15" t="inlineStr">
        <is>
          <t>Juin</t>
        </is>
      </c>
      <c r="B12" s="16">
        <f>SUMPRODUCT((YEAR(Courses!$B$5:$B$154)=$B$4)*(MONTH(Courses!$B$5:$B$154)=6)*(Courses!$O$5:$O$154&lt;&gt;"Annulée")*(Courses!$B$5:$B$154&lt;&gt;"")*1)</f>
        <v/>
      </c>
      <c r="C12" s="9">
        <f>SUMPRODUCT((YEAR(Courses!$B$5:$B$154)=$B$4)*(MONTH(Courses!$B$5:$B$154)=6)*(Courses!$O$5:$O$154&lt;&gt;"Annulée")*(Courses!$B$5:$B$154&lt;&gt;"")*Courses!$L$5:$L$154)</f>
        <v/>
      </c>
      <c r="D12" s="9">
        <f>C12/1.1</f>
        <v/>
      </c>
      <c r="E12" s="9">
        <f>C12-D12</f>
        <v/>
      </c>
      <c r="F12" s="9">
        <f>IF(B12=0,0,C12/B12)</f>
        <v/>
      </c>
      <c r="G12" s="9">
        <f>SUMPRODUCT((YEAR(Courses!$B$5:$B$154)=$B$4)*(MONTH(Courses!$B$5:$B$154)=6)*(Courses!$O$5:$O$154&lt;&gt;"Annulée")*(Courses!$B$5:$B$154&lt;&gt;"")*(Courses!$P$5:$P$154="Oui")*Courses!$L$5:$L$154)</f>
        <v/>
      </c>
      <c r="H12" s="9">
        <f>C12-G12</f>
        <v/>
      </c>
    </row>
    <row r="13">
      <c r="A13" s="15" t="inlineStr">
        <is>
          <t>Juillet</t>
        </is>
      </c>
      <c r="B13" s="16">
        <f>SUMPRODUCT((YEAR(Courses!$B$5:$B$154)=$B$4)*(MONTH(Courses!$B$5:$B$154)=7)*(Courses!$O$5:$O$154&lt;&gt;"Annulée")*(Courses!$B$5:$B$154&lt;&gt;"")*1)</f>
        <v/>
      </c>
      <c r="C13" s="9">
        <f>SUMPRODUCT((YEAR(Courses!$B$5:$B$154)=$B$4)*(MONTH(Courses!$B$5:$B$154)=7)*(Courses!$O$5:$O$154&lt;&gt;"Annulée")*(Courses!$B$5:$B$154&lt;&gt;"")*Courses!$L$5:$L$154)</f>
        <v/>
      </c>
      <c r="D13" s="9">
        <f>C13/1.1</f>
        <v/>
      </c>
      <c r="E13" s="9">
        <f>C13-D13</f>
        <v/>
      </c>
      <c r="F13" s="9">
        <f>IF(B13=0,0,C13/B13)</f>
        <v/>
      </c>
      <c r="G13" s="9">
        <f>SUMPRODUCT((YEAR(Courses!$B$5:$B$154)=$B$4)*(MONTH(Courses!$B$5:$B$154)=7)*(Courses!$O$5:$O$154&lt;&gt;"Annulée")*(Courses!$B$5:$B$154&lt;&gt;"")*(Courses!$P$5:$P$154="Oui")*Courses!$L$5:$L$154)</f>
        <v/>
      </c>
      <c r="H13" s="9">
        <f>C13-G13</f>
        <v/>
      </c>
    </row>
    <row r="14">
      <c r="A14" s="15" t="inlineStr">
        <is>
          <t>Août</t>
        </is>
      </c>
      <c r="B14" s="16">
        <f>SUMPRODUCT((YEAR(Courses!$B$5:$B$154)=$B$4)*(MONTH(Courses!$B$5:$B$154)=8)*(Courses!$O$5:$O$154&lt;&gt;"Annulée")*(Courses!$B$5:$B$154&lt;&gt;"")*1)</f>
        <v/>
      </c>
      <c r="C14" s="9">
        <f>SUMPRODUCT((YEAR(Courses!$B$5:$B$154)=$B$4)*(MONTH(Courses!$B$5:$B$154)=8)*(Courses!$O$5:$O$154&lt;&gt;"Annulée")*(Courses!$B$5:$B$154&lt;&gt;"")*Courses!$L$5:$L$154)</f>
        <v/>
      </c>
      <c r="D14" s="9">
        <f>C14/1.1</f>
        <v/>
      </c>
      <c r="E14" s="9">
        <f>C14-D14</f>
        <v/>
      </c>
      <c r="F14" s="9">
        <f>IF(B14=0,0,C14/B14)</f>
        <v/>
      </c>
      <c r="G14" s="9">
        <f>SUMPRODUCT((YEAR(Courses!$B$5:$B$154)=$B$4)*(MONTH(Courses!$B$5:$B$154)=8)*(Courses!$O$5:$O$154&lt;&gt;"Annulée")*(Courses!$B$5:$B$154&lt;&gt;"")*(Courses!$P$5:$P$154="Oui")*Courses!$L$5:$L$154)</f>
        <v/>
      </c>
      <c r="H14" s="9">
        <f>C14-G14</f>
        <v/>
      </c>
    </row>
    <row r="15">
      <c r="A15" s="15" t="inlineStr">
        <is>
          <t>Septembre</t>
        </is>
      </c>
      <c r="B15" s="16">
        <f>SUMPRODUCT((YEAR(Courses!$B$5:$B$154)=$B$4)*(MONTH(Courses!$B$5:$B$154)=9)*(Courses!$O$5:$O$154&lt;&gt;"Annulée")*(Courses!$B$5:$B$154&lt;&gt;"")*1)</f>
        <v/>
      </c>
      <c r="C15" s="9">
        <f>SUMPRODUCT((YEAR(Courses!$B$5:$B$154)=$B$4)*(MONTH(Courses!$B$5:$B$154)=9)*(Courses!$O$5:$O$154&lt;&gt;"Annulée")*(Courses!$B$5:$B$154&lt;&gt;"")*Courses!$L$5:$L$154)</f>
        <v/>
      </c>
      <c r="D15" s="9">
        <f>C15/1.1</f>
        <v/>
      </c>
      <c r="E15" s="9">
        <f>C15-D15</f>
        <v/>
      </c>
      <c r="F15" s="9">
        <f>IF(B15=0,0,C15/B15)</f>
        <v/>
      </c>
      <c r="G15" s="9">
        <f>SUMPRODUCT((YEAR(Courses!$B$5:$B$154)=$B$4)*(MONTH(Courses!$B$5:$B$154)=9)*(Courses!$O$5:$O$154&lt;&gt;"Annulée")*(Courses!$B$5:$B$154&lt;&gt;"")*(Courses!$P$5:$P$154="Oui")*Courses!$L$5:$L$154)</f>
        <v/>
      </c>
      <c r="H15" s="9">
        <f>C15-G15</f>
        <v/>
      </c>
    </row>
    <row r="16">
      <c r="A16" s="15" t="inlineStr">
        <is>
          <t>Octobre</t>
        </is>
      </c>
      <c r="B16" s="16">
        <f>SUMPRODUCT((YEAR(Courses!$B$5:$B$154)=$B$4)*(MONTH(Courses!$B$5:$B$154)=10)*(Courses!$O$5:$O$154&lt;&gt;"Annulée")*(Courses!$B$5:$B$154&lt;&gt;"")*1)</f>
        <v/>
      </c>
      <c r="C16" s="9">
        <f>SUMPRODUCT((YEAR(Courses!$B$5:$B$154)=$B$4)*(MONTH(Courses!$B$5:$B$154)=10)*(Courses!$O$5:$O$154&lt;&gt;"Annulée")*(Courses!$B$5:$B$154&lt;&gt;"")*Courses!$L$5:$L$154)</f>
        <v/>
      </c>
      <c r="D16" s="9">
        <f>C16/1.1</f>
        <v/>
      </c>
      <c r="E16" s="9">
        <f>C16-D16</f>
        <v/>
      </c>
      <c r="F16" s="9">
        <f>IF(B16=0,0,C16/B16)</f>
        <v/>
      </c>
      <c r="G16" s="9">
        <f>SUMPRODUCT((YEAR(Courses!$B$5:$B$154)=$B$4)*(MONTH(Courses!$B$5:$B$154)=10)*(Courses!$O$5:$O$154&lt;&gt;"Annulée")*(Courses!$B$5:$B$154&lt;&gt;"")*(Courses!$P$5:$P$154="Oui")*Courses!$L$5:$L$154)</f>
        <v/>
      </c>
      <c r="H16" s="9">
        <f>C16-G16</f>
        <v/>
      </c>
    </row>
    <row r="17">
      <c r="A17" s="15" t="inlineStr">
        <is>
          <t>Novembre</t>
        </is>
      </c>
      <c r="B17" s="16">
        <f>SUMPRODUCT((YEAR(Courses!$B$5:$B$154)=$B$4)*(MONTH(Courses!$B$5:$B$154)=11)*(Courses!$O$5:$O$154&lt;&gt;"Annulée")*(Courses!$B$5:$B$154&lt;&gt;"")*1)</f>
        <v/>
      </c>
      <c r="C17" s="9">
        <f>SUMPRODUCT((YEAR(Courses!$B$5:$B$154)=$B$4)*(MONTH(Courses!$B$5:$B$154)=11)*(Courses!$O$5:$O$154&lt;&gt;"Annulée")*(Courses!$B$5:$B$154&lt;&gt;"")*Courses!$L$5:$L$154)</f>
        <v/>
      </c>
      <c r="D17" s="9">
        <f>C17/1.1</f>
        <v/>
      </c>
      <c r="E17" s="9">
        <f>C17-D17</f>
        <v/>
      </c>
      <c r="F17" s="9">
        <f>IF(B17=0,0,C17/B17)</f>
        <v/>
      </c>
      <c r="G17" s="9">
        <f>SUMPRODUCT((YEAR(Courses!$B$5:$B$154)=$B$4)*(MONTH(Courses!$B$5:$B$154)=11)*(Courses!$O$5:$O$154&lt;&gt;"Annulée")*(Courses!$B$5:$B$154&lt;&gt;"")*(Courses!$P$5:$P$154="Oui")*Courses!$L$5:$L$154)</f>
        <v/>
      </c>
      <c r="H17" s="9">
        <f>C17-G17</f>
        <v/>
      </c>
    </row>
    <row r="18">
      <c r="A18" s="15" t="inlineStr">
        <is>
          <t>Décembre</t>
        </is>
      </c>
      <c r="B18" s="16">
        <f>SUMPRODUCT((YEAR(Courses!$B$5:$B$154)=$B$4)*(MONTH(Courses!$B$5:$B$154)=12)*(Courses!$O$5:$O$154&lt;&gt;"Annulée")*(Courses!$B$5:$B$154&lt;&gt;"")*1)</f>
        <v/>
      </c>
      <c r="C18" s="9">
        <f>SUMPRODUCT((YEAR(Courses!$B$5:$B$154)=$B$4)*(MONTH(Courses!$B$5:$B$154)=12)*(Courses!$O$5:$O$154&lt;&gt;"Annulée")*(Courses!$B$5:$B$154&lt;&gt;"")*Courses!$L$5:$L$154)</f>
        <v/>
      </c>
      <c r="D18" s="9">
        <f>C18/1.1</f>
        <v/>
      </c>
      <c r="E18" s="9">
        <f>C18-D18</f>
        <v/>
      </c>
      <c r="F18" s="9">
        <f>IF(B18=0,0,C18/B18)</f>
        <v/>
      </c>
      <c r="G18" s="9">
        <f>SUMPRODUCT((YEAR(Courses!$B$5:$B$154)=$B$4)*(MONTH(Courses!$B$5:$B$154)=12)*(Courses!$O$5:$O$154&lt;&gt;"Annulée")*(Courses!$B$5:$B$154&lt;&gt;"")*(Courses!$P$5:$P$154="Oui")*Courses!$L$5:$L$154)</f>
        <v/>
      </c>
      <c r="H18" s="9">
        <f>C18-G18</f>
        <v/>
      </c>
    </row>
    <row r="19">
      <c r="A19" s="17" t="inlineStr">
        <is>
          <t>TOTAL</t>
        </is>
      </c>
      <c r="B19" s="18">
        <f>SUM(B7:B18)</f>
        <v/>
      </c>
      <c r="C19" s="19">
        <f>SUM(C7:C18)</f>
        <v/>
      </c>
      <c r="D19" s="19">
        <f>SUM(D7:D18)</f>
        <v/>
      </c>
      <c r="E19" s="19">
        <f>SUM(E7:E18)</f>
        <v/>
      </c>
      <c r="F19" s="19">
        <f>IF(B19=0,0,C19/B19)</f>
        <v/>
      </c>
      <c r="G19" s="19">
        <f>SUM(G7:G18)</f>
        <v/>
      </c>
      <c r="H19" s="19">
        <f>SUM(H7:H18)</f>
        <v/>
      </c>
    </row>
    <row r="21">
      <c r="A21" s="4" t="inlineStr">
        <is>
          <t>TVA due : 10 % applicable au transport de personnes. Les courses au statut « Annulée » sont exclues du chiffre d'affaires.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2026-08-19T03:07:25Z</dcterms:created>
  <dcterms:modified xsi:type="dcterms:W3CDTF">2026-08-19T03:07:25Z</dcterms:modified>
</cp:coreProperties>
</file>